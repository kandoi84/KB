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a5cec5a59a3422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lobal Inputs" sheetId="1" r:id="R1614f2d198f944bc"/>
    <x:sheet xmlns:r="http://schemas.openxmlformats.org/officeDocument/2006/relationships" name="Jio" sheetId="2" r:id="Rb7d0fb3831204823"/>
    <x:sheet xmlns:r="http://schemas.openxmlformats.org/officeDocument/2006/relationships" name="Retail" sheetId="3" r:id="R5b37e76b68314064"/>
    <x:sheet xmlns:r="http://schemas.openxmlformats.org/officeDocument/2006/relationships" name="O2C" sheetId="4" r:id="Rbd774a824c144168"/>
    <x:sheet xmlns:r="http://schemas.openxmlformats.org/officeDocument/2006/relationships" name="Oil_Gas" sheetId="5" r:id="R59d247d3b0a24248"/>
    <x:sheet xmlns:r="http://schemas.openxmlformats.org/officeDocument/2006/relationships" name="Media" sheetId="6" r:id="R5f8479d3378442d3"/>
    <x:sheet xmlns:r="http://schemas.openxmlformats.org/officeDocument/2006/relationships" name="New_Energy" sheetId="7" r:id="Rbebf7079d87d4d05"/>
    <x:sheet xmlns:r="http://schemas.openxmlformats.org/officeDocument/2006/relationships" name="SOTP" sheetId="8" r:id="R73bfd75c0f064528"/>
    <x:sheet xmlns:r="http://schemas.openxmlformats.org/officeDocument/2006/relationships" name="Price History" sheetId="9" r:id="R3c16a59aab7645b3"/>
    <x:sheet xmlns:r="http://schemas.openxmlformats.org/officeDocument/2006/relationships" name="Bands" sheetId="10" r:id="R5f89e8b4ee774af0"/>
    <x:sheet xmlns:r="http://schemas.openxmlformats.org/officeDocument/2006/relationships" name="Sources" sheetId="11" r:id="R3396bebd603c4571"/>
    <x:sheet xmlns:r="http://schemas.openxmlformats.org/officeDocument/2006/relationships" name="Cover" sheetId="12" r:id="R5c90c5c7d278465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#,##0.0;[Red](#,##0.0);-"/>
    <x:numFmt numFmtId="201" formatCode="0.0%;[Red](0.0%);-"/>
    <x:numFmt numFmtId="202" formatCode="#,##0;[Red](#,##0);-"/>
    <x:numFmt numFmtId="203" formatCode="0.000x"/>
    <x:numFmt numFmtId="204" formatCode="0.0x;[Red](0.0x);-"/>
    <x:numFmt numFmtId="205" formatCode="₹#,##0;[Red](₹#,##0);-"/>
    <x:numFmt numFmtId="206" formatCode="0.0x"/>
  </x:numFmts>
  <x:fonts count="8">
    <x:font>
      <x:sz val="11"/>
      <x:name val="Carlito"/>
    </x:font>
    <x:font>
      <x:b/>
      <x:sz val="14"/>
      <x:color rgb="FFFFFFFF"/>
      <x:name val="Carlito"/>
    </x:font>
    <x:font>
      <x:b/>
      <x:sz val="11"/>
      <x:color rgb="FF000000"/>
      <x:name val="Carlito"/>
    </x:font>
    <x:font>
      <x:sz val="11"/>
      <x:color rgb="FF0000FF"/>
      <x:name val="Carlito"/>
    </x:font>
    <x:font>
      <x:b/>
      <x:sz val="11"/>
      <x:name val="Carlito"/>
    </x:font>
    <x:font>
      <x:b/>
      <x:sz val="11"/>
      <x:color rgb="FFFFFFFF"/>
      <x:name val="Carlito"/>
    </x:font>
    <x:font>
      <x:sz val="11"/>
      <x:color rgb="FF008000"/>
      <x:name val="Carlito"/>
    </x:font>
    <x:font>
      <x:b/>
      <x:sz val="11"/>
      <x:color rgb="FF0080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7E6E6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  <x:fill>
      <x:patternFill patternType="solid">
        <x:fgColor rgb="FFE2F0D9"/>
      </x:patternFill>
    </x:fill>
  </x:fills>
  <x:borders count="6">
    <x:border/>
    <x:border/>
    <x:border>
      <x:bottom style="thin">
        <x:color rgb="FF808080"/>
      </x:bottom>
    </x:border>
    <x:border>
      <x:bottom style="thin">
        <x:color rgb="FF808080"/>
      </x:bottom>
    </x:border>
    <x:border>
      <x:top style="thin">
        <x:color rgb="FF000000"/>
      </x:top>
    </x:border>
    <x:border>
      <x:top style="thin">
        <x:color rgb="FF000000"/>
      </x:top>
    </x:border>
  </x:borders>
  <x:cellStyleXfs count="1">
    <x:xf numFmtId="0" fontId="0" fillId="0" borderId="0"/>
  </x:cellStyleXfs>
  <x:cellXfs count="8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200" fontId="3" fillId="4" borderId="0" xfId="0" applyNumberFormat="1" applyFont="1" applyFill="1" applyBorder="1"/>
    <x:xf numFmtId="200" fontId="3" fillId="4" borderId="1" xfId="0" applyNumberFormat="1" applyFont="1" applyFill="1" applyBorder="1"/>
    <x:xf numFmtId="201" fontId="3" fillId="4" borderId="0" xfId="0" applyNumberFormat="1" applyFont="1" applyFill="1" applyBorder="1"/>
    <x:xf numFmtId="201" fontId="3" fillId="4" borderId="1" xfId="0" applyNumberFormat="1" applyFont="1" applyFill="1" applyBorder="1"/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4" fillId="4" borderId="0" xfId="0" applyNumberFormat="1" applyFont="1" applyFill="1" applyBorder="1"/>
    <x:xf numFmtId="0" fontId="4" fillId="4" borderId="1" xfId="0" applyNumberFormat="1" applyFont="1" applyFill="1" applyBorder="1"/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5" fillId="5" borderId="0" xfId="0" applyNumberFormat="1" applyFont="1" applyFill="1" applyBorder="1"/>
    <x:xf numFmtId="0" fontId="5" fillId="5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204" fontId="0" fillId="0" borderId="0" xfId="0" applyNumberFormat="1" applyFont="1" applyFill="1" applyBorder="1"/>
    <x:xf numFmtId="204" fontId="0" fillId="0" borderId="1" xfId="0" applyNumberFormat="1" applyFont="1" applyFill="1" applyBorder="1"/>
    <x:xf numFmtId="202" fontId="3" fillId="0" borderId="0" xfId="0" applyNumberFormat="1" applyFont="1" applyFill="1" applyBorder="1"/>
    <x:xf numFmtId="201" fontId="3" fillId="0" borderId="0" xfId="0" applyNumberFormat="1" applyFont="1" applyFill="1" applyBorder="1"/>
    <x:xf numFmtId="202" fontId="3" fillId="0" borderId="1" xfId="0" applyNumberFormat="1" applyFont="1" applyFill="1" applyBorder="1"/>
    <x:xf numFmtId="201" fontId="3" fillId="0" borderId="1" xfId="0" applyNumberFormat="1" applyFont="1" applyFill="1" applyBorder="1"/>
    <x:xf numFmtId="201" fontId="6" fillId="0" borderId="0" xfId="0" applyNumberFormat="1" applyFont="1" applyFill="1" applyBorder="1"/>
    <x:xf numFmtId="201" fontId="6" fillId="0" borderId="1" xfId="0" applyNumberFormat="1" applyFont="1" applyFill="1" applyBorder="1"/>
    <x:xf numFmtId="0" fontId="0" fillId="0" borderId="4" xfId="0" applyNumberFormat="1" applyFont="1" applyFill="1" applyBorder="1"/>
    <x:xf numFmtId="202" fontId="0" fillId="0" borderId="4" xfId="0" applyNumberFormat="1" applyFont="1" applyFill="1" applyBorder="1"/>
    <x:xf numFmtId="0" fontId="0" fillId="0" borderId="5" xfId="0" applyNumberFormat="1" applyFont="1" applyFill="1" applyBorder="1"/>
    <x:xf numFmtId="202" fontId="0" fillId="0" borderId="5" xfId="0" applyNumberFormat="1" applyFont="1" applyFill="1" applyBorder="1"/>
    <x:xf numFmtId="205" fontId="0" fillId="0" borderId="0" xfId="0" applyNumberFormat="1" applyFont="1" applyFill="1" applyBorder="1"/>
    <x:xf numFmtId="205" fontId="0" fillId="0" borderId="1" xfId="0" applyNumberFormat="1" applyFont="1" applyFill="1" applyBorder="1"/>
    <x:xf numFmtId="202" fontId="6" fillId="0" borderId="0" xfId="0" applyNumberFormat="1" applyFont="1" applyFill="1" applyBorder="1"/>
    <x:xf numFmtId="205" fontId="6" fillId="0" borderId="0" xfId="0" applyNumberFormat="1" applyFont="1" applyFill="1" applyBorder="1"/>
    <x:xf numFmtId="0" fontId="6" fillId="0" borderId="0" xfId="0" applyNumberFormat="1" applyFont="1" applyFill="1" applyBorder="1"/>
    <x:xf numFmtId="202" fontId="6" fillId="0" borderId="1" xfId="0" applyNumberFormat="1" applyFont="1" applyFill="1" applyBorder="1"/>
    <x:xf numFmtId="205" fontId="6" fillId="0" borderId="1" xfId="0" applyNumberFormat="1" applyFont="1" applyFill="1" applyBorder="1"/>
    <x:xf numFmtId="0" fontId="6" fillId="0" borderId="1" xfId="0" applyNumberFormat="1" applyFont="1" applyFill="1" applyBorder="1"/>
    <x:xf numFmtId="202" fontId="6" fillId="0" borderId="4" xfId="0" applyNumberFormat="1" applyFont="1" applyFill="1" applyBorder="1"/>
    <x:xf numFmtId="202" fontId="6" fillId="0" borderId="5" xfId="0" applyNumberFormat="1" applyFont="1" applyFill="1" applyBorder="1"/>
    <x:xf numFmtId="0" fontId="0" fillId="6" borderId="0" xfId="0" applyNumberFormat="1" applyFont="1" applyFill="1" applyBorder="1"/>
    <x:xf numFmtId="202" fontId="6" fillId="6" borderId="0" xfId="0" applyNumberFormat="1" applyFont="1" applyFill="1" applyBorder="1"/>
    <x:xf numFmtId="205" fontId="6" fillId="6" borderId="0" xfId="0" applyNumberFormat="1" applyFont="1" applyFill="1" applyBorder="1"/>
    <x:xf numFmtId="0" fontId="0" fillId="6" borderId="1" xfId="0" applyNumberFormat="1" applyFont="1" applyFill="1" applyBorder="1"/>
    <x:xf numFmtId="202" fontId="6" fillId="6" borderId="1" xfId="0" applyNumberFormat="1" applyFont="1" applyFill="1" applyBorder="1"/>
    <x:xf numFmtId="205" fontId="6" fillId="6" borderId="1" xfId="0" applyNumberFormat="1" applyFont="1" applyFill="1" applyBorder="1"/>
    <x:xf numFmtId="0" fontId="4" fillId="6" borderId="0" xfId="0" applyNumberFormat="1" applyFont="1" applyFill="1" applyBorder="1"/>
    <x:xf numFmtId="202" fontId="7" fillId="6" borderId="0" xfId="0" applyNumberFormat="1" applyFont="1" applyFill="1" applyBorder="1"/>
    <x:xf numFmtId="205" fontId="7" fillId="6" borderId="0" xfId="0" applyNumberFormat="1" applyFont="1" applyFill="1" applyBorder="1"/>
    <x:xf numFmtId="0" fontId="4" fillId="6" borderId="1" xfId="0" applyNumberFormat="1" applyFont="1" applyFill="1" applyBorder="1"/>
    <x:xf numFmtId="202" fontId="7" fillId="6" borderId="1" xfId="0" applyNumberFormat="1" applyFont="1" applyFill="1" applyBorder="1"/>
    <x:xf numFmtId="205" fontId="7" fillId="6" borderId="1" xfId="0" applyNumberFormat="1" applyFont="1" applyFill="1" applyBorder="1"/>
    <x:xf numFmtId="201" fontId="6" fillId="6" borderId="0" xfId="0" applyNumberFormat="1" applyFont="1" applyFill="1" applyBorder="1"/>
    <x:xf numFmtId="201" fontId="6" fillId="6" borderId="1" xfId="0" applyNumberFormat="1" applyFont="1" applyFill="1" applyBorder="1"/>
    <x:xf numFmtId="205" fontId="3" fillId="0" borderId="0" xfId="0" applyNumberFormat="1" applyFont="1" applyFill="1" applyBorder="1"/>
    <x:xf numFmtId="205" fontId="3" fillId="0" borderId="1" xfId="0" applyNumberFormat="1" applyFont="1" applyFill="1" applyBorder="1"/>
    <x:xf numFmtId="206" fontId="0" fillId="0" borderId="0" xfId="0" applyNumberFormat="1" applyFont="1" applyFill="1" applyBorder="1"/>
    <x:xf numFmtId="206" fontId="0" fillId="0" borderId="1" xfId="0" applyNumberFormat="1" applyFont="1" applyFill="1" applyBorder="1"/>
    <x:xf numFmtId="206" fontId="6" fillId="0" borderId="0" xfId="0" applyNumberFormat="1" applyFont="1" applyFill="1" applyBorder="1"/>
    <x:xf numFmtId="206" fontId="6" fillId="0" borderId="1" xfId="0" applyNumberFormat="1" applyFont="1" applyFill="1" applyBorder="1"/>
    <x:xf numFmtId="0" fontId="4" fillId="3" borderId="0" xfId="0" applyNumberFormat="1" applyFont="1" applyFill="1" applyBorder="1"/>
    <x:xf numFmtId="0" fontId="4" fillId="3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1" fillId="2" borderId="1" xfId="0" applyNumberFormat="1" applyFont="1" applyFill="1" applyBorder="1" applyAlignment="1">
      <x:alignment horizontal="left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afa871bccab45fc" /><Relationship Type="http://schemas.openxmlformats.org/officeDocument/2006/relationships/theme" Target="/xl/theme/theme1.xml" Id="R1cf6057426674513" /><Relationship Type="http://schemas.openxmlformats.org/officeDocument/2006/relationships/sharedStrings" Target="/xl/sharedStrings.xml" Id="R8769ad8f8f6747bb" /><Relationship Type="http://schemas.openxmlformats.org/officeDocument/2006/relationships/worksheet" Target="/xl/worksheets/sheet1.xml" Id="R1614f2d198f944bc" /><Relationship Type="http://schemas.openxmlformats.org/officeDocument/2006/relationships/worksheet" Target="/xl/worksheets/sheet2.xml" Id="Rb7d0fb3831204823" /><Relationship Type="http://schemas.openxmlformats.org/officeDocument/2006/relationships/worksheet" Target="/xl/worksheets/sheet3.xml" Id="R5b37e76b68314064" /><Relationship Type="http://schemas.openxmlformats.org/officeDocument/2006/relationships/worksheet" Target="/xl/worksheets/sheet4.xml" Id="Rbd774a824c144168" /><Relationship Type="http://schemas.openxmlformats.org/officeDocument/2006/relationships/worksheet" Target="/xl/worksheets/sheet5.xml" Id="R59d247d3b0a24248" /><Relationship Type="http://schemas.openxmlformats.org/officeDocument/2006/relationships/worksheet" Target="/xl/worksheets/sheet6.xml" Id="R5f8479d3378442d3" /><Relationship Type="http://schemas.openxmlformats.org/officeDocument/2006/relationships/worksheet" Target="/xl/worksheets/sheet7.xml" Id="Rbebf7079d87d4d05" /><Relationship Type="http://schemas.openxmlformats.org/officeDocument/2006/relationships/worksheet" Target="/xl/worksheets/sheet8.xml" Id="R73bfd75c0f064528" /><Relationship Type="http://schemas.openxmlformats.org/officeDocument/2006/relationships/worksheet" Target="/xl/worksheets/sheet9.xml" Id="R3c16a59aab7645b3" /><Relationship Type="http://schemas.openxmlformats.org/officeDocument/2006/relationships/worksheet" Target="/xl/worksheets/sheet10.xml" Id="R5f89e8b4ee774af0" /><Relationship Type="http://schemas.openxmlformats.org/officeDocument/2006/relationships/worksheet" Target="/xl/worksheets/sheet11.xml" Id="R3396bebd603c4571" /><Relationship Type="http://schemas.openxmlformats.org/officeDocument/2006/relationships/worksheet" Target="/xl/worksheets/sheet12.xml" Id="R5c90c5c7d2784653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90647c7c16104f32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Market price vs fair value and ±1σ bands</a:t>
            </a:r>
          </a:p>
        </c:rich>
      </c:tx>
    </c:title>
    <c:plotArea>
      <c:lineChart>
        <c:grouping val="standard"/>
        <c:ser>
          <c:idx val="0"/>
          <c:order val="0"/>
          <c:tx>
            <c:v>Market price (₹)</c:v>
          </c:tx>
          <c:marker>
            <c:symbol val="none"/>
          </c:marker>
          <c:cat>
            <c:strRef>
              <c:f>'Price History'!$A$4:$A$26</c:f>
              <c:strCache>
                <c:ptCount val="0"/>
              </c:strCache>
            </c:strRef>
          </c:cat>
          <c:val>
            <c:numRef>
              <c:f>'Price History'!$B$4:$B$26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Model fair value anchor (₹)</c:v>
          </c:tx>
          <c:marker>
            <c:symbol val="none"/>
          </c:marker>
          <c:cat>
            <c:strRef>
              <c:f>'Price History'!$A$4:$A$26</c:f>
              <c:strCache>
                <c:ptCount val="0"/>
              </c:strCache>
            </c:strRef>
          </c:cat>
          <c:val>
            <c:numRef>
              <c:f>'Price History'!$C$4:$C$26</c:f>
              <c:numCache>
                <c:formatCode>₹#,##0;[Red](₹#,##0);-</c:formatCode>
                <c:ptCount val="0"/>
              </c:numCache>
            </c:numRef>
          </c:val>
        </c:ser>
        <c:ser>
          <c:idx val="2"/>
          <c:order val="2"/>
          <c:tx>
            <c:v>Price / FV - 1</c:v>
          </c:tx>
          <c:marker>
            <c:symbol val="none"/>
          </c:marker>
          <c:cat>
            <c:strRef>
              <c:f>'Price History'!$A$4:$A$26</c:f>
              <c:strCache>
                <c:ptCount val="0"/>
              </c:strCache>
            </c:strRef>
          </c:cat>
          <c:val>
            <c:numRef>
              <c:f>'Price History'!$D$4:$D$26</c:f>
              <c:numCache>
                <c:formatCode>0.0%;[Red](0.0%);-</c:formatCode>
                <c:ptCount val="0"/>
              </c:numCache>
            </c:numRef>
          </c:val>
        </c:ser>
        <c:ser>
          <c:idx val="3"/>
          <c:order val="3"/>
          <c:tx>
            <c:v>Rolling σ of gap</c:v>
          </c:tx>
          <c:marker>
            <c:symbol val="none"/>
          </c:marker>
          <c:cat>
            <c:strRef>
              <c:f>'Price History'!$A$4:$A$26</c:f>
              <c:strCache>
                <c:ptCount val="0"/>
              </c:strCache>
            </c:strRef>
          </c:cat>
          <c:val>
            <c:numRef>
              <c:f>'Price History'!$E$4:$E$26</c:f>
              <c:numCache>
                <c:formatCode>0.0%;[Red](0.0%);-</c:formatCode>
                <c:ptCount val="0"/>
              </c:numCache>
            </c:numRef>
          </c:val>
        </c:ser>
        <c:ser>
          <c:idx val="4"/>
          <c:order val="4"/>
          <c:tx>
            <c:v>-1σ buy band</c:v>
          </c:tx>
          <c:marker>
            <c:symbol val="none"/>
          </c:marker>
          <c:cat>
            <c:strRef>
              <c:f>'Price History'!$A$4:$A$26</c:f>
              <c:strCache>
                <c:ptCount val="0"/>
              </c:strCache>
            </c:strRef>
          </c:cat>
          <c:val>
            <c:numRef>
              <c:f>'Price History'!$F$4:$F$26</c:f>
              <c:numCache>
                <c:formatCode>₹#,##0;[Red](₹#,##0);-</c:formatCode>
                <c:ptCount val="0"/>
              </c:numCache>
            </c:numRef>
          </c:val>
        </c:ser>
        <c:ser>
          <c:idx val="5"/>
          <c:order val="5"/>
          <c:tx>
            <c:v>Fair value</c:v>
          </c:tx>
          <c:marker>
            <c:symbol val="none"/>
          </c:marker>
          <c:cat>
            <c:strRef>
              <c:f>'Price History'!$A$4:$A$26</c:f>
              <c:strCache>
                <c:ptCount val="0"/>
              </c:strCache>
            </c:strRef>
          </c:cat>
          <c:val>
            <c:numRef>
              <c:f>'Price History'!$G$4:$G$26</c:f>
              <c:numCache>
                <c:formatCode>₹#,##0;[Red](₹#,##0);-</c:formatCode>
                <c:ptCount val="0"/>
              </c:numCache>
            </c:numRef>
          </c:val>
        </c:ser>
        <c:ser>
          <c:idx val="6"/>
          <c:order val="6"/>
          <c:tx>
            <c:v>+1σ trim band</c:v>
          </c:tx>
          <c:marker>
            <c:symbol val="none"/>
          </c:marker>
          <c:cat>
            <c:strRef>
              <c:f>'Price History'!$A$4:$A$26</c:f>
              <c:strCache>
                <c:ptCount val="0"/>
              </c:strCache>
            </c:strRef>
          </c:cat>
          <c:val>
            <c:numRef>
              <c:f>'Price History'!$H$4:$H$26</c:f>
              <c:numCache>
                <c:formatCode>₹#,##0;[Red](₹#,##0);-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2</xdr:row>
      <xdr:rowOff>0</xdr:rowOff>
    </xdr:from>
    <xdr:to>
      <xdr:col>18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0647c7c16104f3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9.xml.rels>&#65279;<?xml version="1.0" encoding="utf-8"?><Relationships xmlns="http://schemas.openxmlformats.org/package/2006/relationships"><Relationship Type="http://schemas.openxmlformats.org/officeDocument/2006/relationships/drawing" Target="/xl/drawings/drawing1.xml" Id="R6054bdc0c877424a" /></Relationships>
</file>

<file path=xl/worksheets/sheet1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8" hidden="0" customWidth="1"/>
    <x:col min="3" max="3" width="22" hidden="0" customWidth="1"/>
    <x:col min="4" max="4" width="58" hidden="0" customWidth="1"/>
  </x:cols>
  <x:sheetData>
    <x:row r="1" ht="24" customHeight="1">
      <x:c r="A1" s="8" t="str">
        <x:v>Reliance Industries — Global Inputs &amp; Valuation Controls</x:v>
      </x:c>
    </x:row>
    <x:row r="3">
      <x:c r="A3" s="14" t="str">
        <x:v>Input</x:v>
      </x:c>
      <x:c r="B3" s="14" t="str">
        <x:v>Value</x:v>
      </x:c>
      <x:c r="C3" s="14" t="str">
        <x:v>Unit / interpretation</x:v>
      </x:c>
      <x:c r="D3" s="14" t="str">
        <x:v>Source / note</x:v>
      </x:c>
    </x:row>
    <x:row r="4">
      <x:c r="A4" t="str">
        <x:v>Current share price</x:v>
      </x:c>
      <x:c r="B4" s="20" t="n">
        <x:v>1219.3</x:v>
      </x:c>
      <x:c r="C4" t="str">
        <x:v>₹/share</x:v>
      </x:c>
      <x:c r="D4" t="str">
        <x:v>https://www.investing.com/equities/reliance-industries-historical-data</x:v>
      </x:c>
    </x:row>
    <x:row r="5">
      <x:c r="A5" t="str">
        <x:v>Shares outstanding</x:v>
      </x:c>
      <x:c r="B5" s="20" t="n">
        <x:v>1353.2472634</x:v>
      </x:c>
      <x:c r="C5" t="str">
        <x:v>crore shares</x:v>
      </x:c>
      <x:c r="D5" t="str">
        <x:v>https://www.ril.com/ar2025-26/pdf/07_RIL_IAR_2025-26_Consolidated_22-05-26.pdf</x:v>
      </x:c>
    </x:row>
    <x:row r="6">
      <x:c r="A6" t="str">
        <x:v>Net debt</x:v>
      </x:c>
      <x:c r="B6" s="22" t="n">
        <x:v>124717</x:v>
      </x:c>
      <x:c r="C6" t="str">
        <x:v>₹ crore</x:v>
      </x:c>
      <x:c r="D6" t="str">
        <x:v>https://www.ril.com/ar2025-26/financial-performance-and-review.html</x:v>
      </x:c>
    </x:row>
    <x:row r="7">
      <x:c r="A7" t="str">
        <x:v>Holding-company / complexity discount</x:v>
      </x:c>
      <x:c r="B7" s="22" t="n">
        <x:v>0.075</x:v>
      </x:c>
      <x:c r="C7" t="str">
        <x:v>%</x:v>
      </x:c>
      <x:c r="D7" t="str">
        <x:v>Analyst assumption; editable</x:v>
      </x:c>
    </x:row>
    <x:row r="8">
      <x:c r="A8" t="str">
        <x:v>Fair-value roll-forward rate</x:v>
      </x:c>
      <x:c r="B8" s="22" t="n">
        <x:v>0.08</x:v>
      </x:c>
      <x:c r="C8" t="str">
        <x:v>% p.a.</x:v>
      </x:c>
      <x:c r="D8" t="str">
        <x:v>Analyst assumption for linear monthly anchor between model refreshes</x:v>
      </x:c>
    </x:row>
    <x:row r="9">
      <x:c r="A9" t="str">
        <x:v>Minimum band sigma</x:v>
      </x:c>
      <x:c r="B9" s="22" t="n">
        <x:v>0.08</x:v>
      </x:c>
      <x:c r="C9" t="str">
        <x:v>%</x:v>
      </x:c>
      <x:c r="D9" t="str">
        <x:v>Analyst assumption; prevents overly tight band from short history</x:v>
      </x:c>
    </x:row>
    <x:row r="10">
      <x:c r="A10" t="str">
        <x:v>Tax rate</x:v>
      </x:c>
      <x:c r="B10" s="22" t="n">
        <x:v>0.25</x:v>
      </x:c>
      <x:c r="C10" t="str">
        <x:v>%</x:v>
      </x:c>
      <x:c r="D10" t="str">
        <x:v>Analyst assumption; segment-specific sheets can override</x:v>
      </x:c>
    </x:row>
    <x:row r="12">
      <x:c r="A12" s="26" t="str">
        <x:v>Model status</x:v>
      </x:c>
      <x:c r="B12" s="26" t="str">
        <x:v>screen-grade</x:v>
      </x:c>
      <x:c r="C12" s="26" t="str">
        <x:v>Reason</x:v>
      </x:c>
      <x:c r="D12" s="26" t="str">
        <x:v>Public-source DCF with analyst assumptions; refresh quarterly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38" hidden="0" customWidth="1"/>
  </x:cols>
  <x:sheetData>
    <x:row r="1" ht="24" customHeight="1">
      <x:c r="A1" s="8" t="str">
        <x:v>Jio — 10-Year FCFF DCF</x:v>
      </x:c>
    </x:row>
    <x:row r="3">
      <x:c r="A3" s="14" t="str">
        <x:v>₹ crore unless stated</x:v>
      </x:c>
      <x:c r="B3" s="14" t="str">
        <x:v>FY26A</x:v>
      </x:c>
      <x:c r="C3" s="14" t="str">
        <x:v>FY27E</x:v>
      </x:c>
      <x:c r="D3" s="14" t="str">
        <x:v>FY28E</x:v>
      </x:c>
      <x:c r="E3" s="14" t="str">
        <x:v>FY29E</x:v>
      </x:c>
      <x:c r="F3" s="14" t="str">
        <x:v>FY30E</x:v>
      </x:c>
      <x:c r="G3" s="14" t="str">
        <x:v>FY31E</x:v>
      </x:c>
      <x:c r="H3" s="14" t="str">
        <x:v>FY32E</x:v>
      </x:c>
      <x:c r="I3" s="14" t="str">
        <x:v>FY33E</x:v>
      </x:c>
      <x:c r="J3" s="14" t="str">
        <x:v>FY34E</x:v>
      </x:c>
      <x:c r="K3" s="14" t="str">
        <x:v>FY35E</x:v>
      </x:c>
      <x:c r="L3" s="14" t="str">
        <x:v>FY36E</x:v>
      </x:c>
      <x:c r="M3" s="14" t="str">
        <x:v>Source / note</x:v>
      </x:c>
    </x:row>
    <x:row r="4">
      <x:c r="A4" t="str">
        <x:v>Revenue</x:v>
      </x:c>
      <x:c r="B4" s="40" t="n">
        <x:v>146885</x:v>
      </x:c>
      <x:c r="C4" s="32" t="n">
        <x:f>B4*(1+C5)</x:f>
        <x:v>167448.90000000002</x:v>
      </x:c>
      <x:c r="D4" s="32" t="n">
        <x:f>C4*(1+D5)</x:f>
        <x:v>189217.257</x:v>
      </x:c>
      <x:c r="E4" s="32" t="n">
        <x:f>D4*(1+E5)</x:f>
        <x:v>211923.32784000004</x:v>
      </x:c>
      <x:c r="F4" s="32" t="n">
        <x:f>E4*(1+F5)</x:f>
        <x:v>235234.89390240007</x:v>
      </x:c>
      <x:c r="G4" s="32" t="n">
        <x:f>F4*(1+G5)</x:f>
        <x:v>258758.3832926401</x:v>
      </x:c>
      <x:c r="H4" s="32" t="n">
        <x:f>G4*(1+H5)</x:f>
        <x:v>282046.6377889777</x:v>
      </x:c>
      <x:c r="I4" s="32" t="n">
        <x:f>H4*(1+I5)</x:f>
        <x:v>304610.36881209596</x:v>
      </x:c>
      <x:c r="J4" s="32" t="n">
        <x:f>I4*(1+J5)</x:f>
        <x:v>325933.09462894266</x:v>
      </x:c>
      <x:c r="K4" s="32" t="n">
        <x:f>J4*(1+K5)</x:f>
        <x:v>347118.7457798239</x:v>
      </x:c>
      <x:c r="L4" s="32" t="n">
        <x:f>K4*(1+L5)</x:f>
        <x:v>367945.8705266134</x:v>
      </x:c>
      <x:c r="M4" t="str">
        <x:v>https://www.ril.com/investors/events-presentations</x:v>
      </x:c>
    </x:row>
    <x:row r="5">
      <x:c r="A5" t="str">
        <x:v>Growth</x:v>
      </x:c>
      <x:c r="B5" s="41"/>
      <x:c r="C5" s="22" t="n">
        <x:v>0.14</x:v>
      </x:c>
      <x:c r="D5" s="22" t="n">
        <x:v>0.13</x:v>
      </x:c>
      <x:c r="E5" s="22" t="n">
        <x:v>0.12</x:v>
      </x:c>
      <x:c r="F5" s="22" t="n">
        <x:v>0.11</x:v>
      </x:c>
      <x:c r="G5" s="22" t="n">
        <x:v>0.1</x:v>
      </x:c>
      <x:c r="H5" s="22" t="n">
        <x:v>0.09</x:v>
      </x:c>
      <x:c r="I5" s="22" t="n">
        <x:v>0.08</x:v>
      </x:c>
      <x:c r="J5" s="22" t="n">
        <x:v>0.07</x:v>
      </x:c>
      <x:c r="K5" s="22" t="n">
        <x:v>0.065</x:v>
      </x:c>
      <x:c r="L5" s="22" t="n">
        <x:v>0.06</x:v>
      </x:c>
      <x:c r="M5" t="str">
        <x:v>Blue cells = analyst inputs; black = formulas; green = same-workbook links.</x:v>
      </x:c>
    </x:row>
    <x:row r="6">
      <x:c r="A6" t="str">
        <x:v>EBITDA margin</x:v>
      </x:c>
      <x:c r="B6" s="40" t="n">
        <x:v>76255</x:v>
      </x:c>
      <x:c r="C6" s="32" t="n">
        <x:f>C4*C7</x:f>
        <x:v>87910.67250000002</x:v>
      </x:c>
      <x:c r="D6" s="32" t="n">
        <x:f>D4*D7</x:f>
        <x:v>100285.14621</x:v>
      </x:c>
      <x:c r="E6" s="32" t="n">
        <x:f>E4*E7</x:f>
        <x:v>114438.59703360003</x:v>
      </x:c>
      <x:c r="F6" s="32" t="n">
        <x:f>F4*F7</x:f>
        <x:v>128203.01717680805</x:v>
      </x:c>
      <x:c r="G6" s="32" t="n">
        <x:f>G4*G7</x:f>
        <x:v>142317.11081095206</x:v>
      </x:c>
      <x:c r="H6" s="32" t="n">
        <x:f>H4*H7</x:f>
        <x:v>156535.88397288264</x:v>
      </x:c>
      <x:c r="I6" s="32" t="n">
        <x:f>I4*I7</x:f>
        <x:v>170581.80653477376</x:v>
      </x:c>
      <x:c r="J6" s="32" t="n">
        <x:f>J4*J7</x:f>
        <x:v>184152.1984653526</x:v>
      </x:c>
      <x:c r="K6" s="32" t="n">
        <x:f>K4*K7</x:f>
        <x:v>197857.6850944996</x:v>
      </x:c>
      <x:c r="L6" s="32" t="n">
        <x:f>L4*L7</x:f>
        <x:v>211568.87555280267</x:v>
      </x:c>
    </x:row>
    <x:row r="7">
      <x:c r="A7" t="str">
        <x:v>EBITDA</x:v>
      </x:c>
      <x:c r="B7" s="34" t="n">
        <x:f>IFERROR(B6/B4,0)</x:f>
        <x:v>0.5191476325016169</x:v>
      </x:c>
      <x:c r="C7" s="22" t="n">
        <x:v>0.525</x:v>
      </x:c>
      <x:c r="D7" s="22" t="n">
        <x:v>0.53</x:v>
      </x:c>
      <x:c r="E7" s="22" t="n">
        <x:v>0.54</x:v>
      </x:c>
      <x:c r="F7" s="22" t="n">
        <x:v>0.545</x:v>
      </x:c>
      <x:c r="G7" s="22" t="n">
        <x:v>0.55</x:v>
      </x:c>
      <x:c r="H7" s="22" t="n">
        <x:v>0.555</x:v>
      </x:c>
      <x:c r="I7" s="22" t="n">
        <x:v>0.56</x:v>
      </x:c>
      <x:c r="J7" s="22" t="n">
        <x:v>0.565</x:v>
      </x:c>
      <x:c r="K7" s="22" t="n">
        <x:v>0.57</x:v>
      </x:c>
      <x:c r="L7" s="22" t="n">
        <x:v>0.575</x:v>
      </x:c>
    </x:row>
    <x:row r="8">
      <x:c r="A8" t="str">
        <x:v>D&amp;A % revenue</x:v>
      </x:c>
      <x:c r="B8" s="34" t="n">
        <x:v>0.2</x:v>
      </x:c>
      <x:c r="C8" s="22" t="n">
        <x:v>0.2</x:v>
      </x:c>
      <x:c r="D8" s="22" t="n">
        <x:v>0.195</x:v>
      </x:c>
      <x:c r="E8" s="22" t="n">
        <x:v>0.19</x:v>
      </x:c>
      <x:c r="F8" s="22" t="n">
        <x:v>0.18</x:v>
      </x:c>
      <x:c r="G8" s="22" t="n">
        <x:v>0.17</x:v>
      </x:c>
      <x:c r="H8" s="22" t="n">
        <x:v>0.165</x:v>
      </x:c>
      <x:c r="I8" s="22" t="n">
        <x:v>0.16</x:v>
      </x:c>
      <x:c r="J8" s="22" t="n">
        <x:v>0.155</x:v>
      </x:c>
      <x:c r="K8" s="22" t="n">
        <x:v>0.15</x:v>
      </x:c>
      <x:c r="L8" s="22" t="n">
        <x:v>0.145</x:v>
      </x:c>
    </x:row>
    <x:row r="9">
      <x:c r="A9" t="str">
        <x:v>D&amp;A</x:v>
      </x:c>
      <x:c r="B9" s="32" t="n">
        <x:f>B4*B8</x:f>
        <x:v>29377</x:v>
      </x:c>
      <x:c r="C9" s="32" t="n">
        <x:f>C4*C8</x:f>
        <x:v>33489.780000000006</x:v>
      </x:c>
      <x:c r="D9" s="32" t="n">
        <x:f>D4*D8</x:f>
        <x:v>36897.365115</x:v>
      </x:c>
      <x:c r="E9" s="32" t="n">
        <x:f>E4*E8</x:f>
        <x:v>40265.43228960001</x:v>
      </x:c>
      <x:c r="F9" s="32" t="n">
        <x:f>F4*F8</x:f>
        <x:v>42342.28090243201</x:v>
      </x:c>
      <x:c r="G9" s="32" t="n">
        <x:f>G4*G8</x:f>
        <x:v>43988.92515974882</x:v>
      </x:c>
      <x:c r="H9" s="32" t="n">
        <x:f>H4*H8</x:f>
        <x:v>46537.69523518132</x:v>
      </x:c>
      <x:c r="I9" s="32" t="n">
        <x:f>I4*I8</x:f>
        <x:v>48737.659009935356</x:v>
      </x:c>
      <x:c r="J9" s="32" t="n">
        <x:f>J4*J8</x:f>
        <x:v>50519.629667486115</x:v>
      </x:c>
      <x:c r="K9" s="32" t="n">
        <x:f>K4*K8</x:f>
        <x:v>52067.811866973585</x:v>
      </x:c>
      <x:c r="L9" s="32" t="n">
        <x:f>L4*L8</x:f>
        <x:v>53352.15122635894</x:v>
      </x:c>
    </x:row>
    <x:row r="10">
      <x:c r="A10" t="str">
        <x:v>EBIT</x:v>
      </x:c>
      <x:c r="B10" s="32" t="n">
        <x:f>B6-B9</x:f>
        <x:v>46878</x:v>
      </x:c>
      <x:c r="C10" s="32" t="n">
        <x:f>C6-C9</x:f>
        <x:v>54420.89250000001</x:v>
      </x:c>
      <x:c r="D10" s="32" t="n">
        <x:f>D6-D9</x:f>
        <x:v>63387.781095000006</x:v>
      </x:c>
      <x:c r="E10" s="32" t="n">
        <x:f>E6-E9</x:f>
        <x:v>74173.16474400002</x:v>
      </x:c>
      <x:c r="F10" s="32" t="n">
        <x:f>F6-F9</x:f>
        <x:v>85860.73627437605</x:v>
      </x:c>
      <x:c r="G10" s="32" t="n">
        <x:f>G6-G9</x:f>
        <x:v>98328.18565120324</x:v>
      </x:c>
      <x:c r="H10" s="32" t="n">
        <x:f>H6-H9</x:f>
        <x:v>109998.18873770132</x:v>
      </x:c>
      <x:c r="I10" s="32" t="n">
        <x:f>I6-I9</x:f>
        <x:v>121844.1475248384</x:v>
      </x:c>
      <x:c r="J10" s="32" t="n">
        <x:f>J6-J9</x:f>
        <x:v>133632.56879786646</x:v>
      </x:c>
      <x:c r="K10" s="32" t="n">
        <x:f>K6-K9</x:f>
        <x:v>145789.87322752603</x:v>
      </x:c>
      <x:c r="L10" s="32" t="n">
        <x:f>L6-L9</x:f>
        <x:v>158216.72432644374</x:v>
      </x:c>
    </x:row>
    <x:row r="11">
      <x:c r="A11" t="str">
        <x:v>Cash tax rate</x:v>
      </x:c>
      <x:c r="B11" s="44" t="n">
        <x:f>'Global Inputs'!$B$10</x:f>
        <x:v>0.25</x:v>
      </x:c>
      <x:c r="C11" s="44" t="n">
        <x:f>'Global Inputs'!$B$10</x:f>
        <x:v>0.25</x:v>
      </x:c>
      <x:c r="D11" s="44" t="n">
        <x:f>'Global Inputs'!$B$10</x:f>
        <x:v>0.25</x:v>
      </x:c>
      <x:c r="E11" s="44" t="n">
        <x:f>'Global Inputs'!$B$10</x:f>
        <x:v>0.25</x:v>
      </x:c>
      <x:c r="F11" s="44" t="n">
        <x:f>'Global Inputs'!$B$10</x:f>
        <x:v>0.25</x:v>
      </x:c>
      <x:c r="G11" s="44" t="n">
        <x:f>'Global Inputs'!$B$10</x:f>
        <x:v>0.25</x:v>
      </x:c>
      <x:c r="H11" s="44" t="n">
        <x:f>'Global Inputs'!$B$10</x:f>
        <x:v>0.25</x:v>
      </x:c>
      <x:c r="I11" s="44" t="n">
        <x:f>'Global Inputs'!$B$10</x:f>
        <x:v>0.25</x:v>
      </x:c>
      <x:c r="J11" s="44" t="n">
        <x:f>'Global Inputs'!$B$10</x:f>
        <x:v>0.25</x:v>
      </x:c>
      <x:c r="K11" s="44" t="n">
        <x:f>'Global Inputs'!$B$10</x:f>
        <x:v>0.25</x:v>
      </x:c>
      <x:c r="L11" s="44" t="n">
        <x:f>'Global Inputs'!$B$10</x:f>
        <x:v>0.25</x:v>
      </x:c>
    </x:row>
    <x:row r="12">
      <x:c r="A12" t="str">
        <x:v>Cash taxes</x:v>
      </x:c>
      <x:c r="B12" s="32" t="n">
        <x:f>MAX(0,B10*B11)</x:f>
        <x:v>11719.5</x:v>
      </x:c>
      <x:c r="C12" s="32" t="n">
        <x:f>MAX(0,C10*C11)</x:f>
        <x:v>13605.223125000002</x:v>
      </x:c>
      <x:c r="D12" s="32" t="n">
        <x:f>MAX(0,D10*D11)</x:f>
        <x:v>15846.945273750001</x:v>
      </x:c>
      <x:c r="E12" s="32" t="n">
        <x:f>MAX(0,E10*E11)</x:f>
        <x:v>18543.291186000006</x:v>
      </x:c>
      <x:c r="F12" s="32" t="n">
        <x:f>MAX(0,F10*F11)</x:f>
        <x:v>21465.18406859401</x:v>
      </x:c>
      <x:c r="G12" s="32" t="n">
        <x:f>MAX(0,G10*G11)</x:f>
        <x:v>24582.04641280081</x:v>
      </x:c>
      <x:c r="H12" s="32" t="n">
        <x:f>MAX(0,H10*H11)</x:f>
        <x:v>27499.54718442533</x:v>
      </x:c>
      <x:c r="I12" s="32" t="n">
        <x:f>MAX(0,I10*I11)</x:f>
        <x:v>30461.0368812096</x:v>
      </x:c>
      <x:c r="J12" s="32" t="n">
        <x:f>MAX(0,J10*J11)</x:f>
        <x:v>33408.142199466616</x:v>
      </x:c>
      <x:c r="K12" s="32" t="n">
        <x:f>MAX(0,K10*K11)</x:f>
        <x:v>36447.46830688151</x:v>
      </x:c>
      <x:c r="L12" s="32" t="n">
        <x:f>MAX(0,L10*L11)</x:f>
        <x:v>39554.181081610936</x:v>
      </x:c>
    </x:row>
    <x:row r="13">
      <x:c r="A13" t="str">
        <x:v>NOPAT</x:v>
      </x:c>
      <x:c r="B13" s="32" t="n">
        <x:f>B10-B12</x:f>
        <x:v>35158.5</x:v>
      </x:c>
      <x:c r="C13" s="32" t="n">
        <x:f>C10-C12</x:f>
        <x:v>40815.669375000005</x:v>
      </x:c>
      <x:c r="D13" s="32" t="n">
        <x:f>D10-D12</x:f>
        <x:v>47540.83582125</x:v>
      </x:c>
      <x:c r="E13" s="32" t="n">
        <x:f>E10-E12</x:f>
        <x:v>55629.87355800002</x:v>
      </x:c>
      <x:c r="F13" s="32" t="n">
        <x:f>F10-F12</x:f>
        <x:v>64395.552205782034</x:v>
      </x:c>
      <x:c r="G13" s="32" t="n">
        <x:f>G10-G12</x:f>
        <x:v>73746.13923840242</x:v>
      </x:c>
      <x:c r="H13" s="32" t="n">
        <x:f>H10-H12</x:f>
        <x:v>82498.64155327599</x:v>
      </x:c>
      <x:c r="I13" s="32" t="n">
        <x:f>I10-I12</x:f>
        <x:v>91383.1106436288</x:v>
      </x:c>
      <x:c r="J13" s="32" t="n">
        <x:f>J10-J12</x:f>
        <x:v>100224.42659839985</x:v>
      </x:c>
      <x:c r="K13" s="32" t="n">
        <x:f>K10-K12</x:f>
        <x:v>109342.40492064452</x:v>
      </x:c>
      <x:c r="L13" s="32" t="n">
        <x:f>L10-L12</x:f>
        <x:v>118662.5432448328</x:v>
      </x:c>
    </x:row>
    <x:row r="14">
      <x:c r="A14" t="str">
        <x:v>Capex % revenue</x:v>
      </x:c>
      <x:c r="B14" s="34" t="n">
        <x:v>0.2</x:v>
      </x:c>
      <x:c r="C14" s="22" t="n">
        <x:v>0.2</x:v>
      </x:c>
      <x:c r="D14" s="22" t="n">
        <x:v>0.18</x:v>
      </x:c>
      <x:c r="E14" s="22" t="n">
        <x:v>0.16</x:v>
      </x:c>
      <x:c r="F14" s="22" t="n">
        <x:v>0.14</x:v>
      </x:c>
      <x:c r="G14" s="22" t="n">
        <x:v>0.12</x:v>
      </x:c>
      <x:c r="H14" s="22" t="n">
        <x:v>0.115</x:v>
      </x:c>
      <x:c r="I14" s="22" t="n">
        <x:v>0.11</x:v>
      </x:c>
      <x:c r="J14" s="22" t="n">
        <x:v>0.105</x:v>
      </x:c>
      <x:c r="K14" s="22" t="n">
        <x:v>0.1</x:v>
      </x:c>
      <x:c r="L14" s="22" t="n">
        <x:v>0.095</x:v>
      </x:c>
    </x:row>
    <x:row r="15">
      <x:c r="A15" t="str">
        <x:v>Capex</x:v>
      </x:c>
      <x:c r="B15" s="32" t="n">
        <x:f>B4*B14</x:f>
        <x:v>29377</x:v>
      </x:c>
      <x:c r="C15" s="32" t="n">
        <x:f>C4*C14</x:f>
        <x:v>33489.780000000006</x:v>
      </x:c>
      <x:c r="D15" s="32" t="n">
        <x:f>D4*D14</x:f>
        <x:v>34059.10626</x:v>
      </x:c>
      <x:c r="E15" s="32" t="n">
        <x:f>E4*E14</x:f>
        <x:v>33907.73245440001</x:v>
      </x:c>
      <x:c r="F15" s="32" t="n">
        <x:f>F4*F14</x:f>
        <x:v>32932.88514633601</x:v>
      </x:c>
      <x:c r="G15" s="32" t="n">
        <x:f>G4*G14</x:f>
        <x:v>31051.00599511681</x:v>
      </x:c>
      <x:c r="H15" s="32" t="n">
        <x:f>H4*H14</x:f>
        <x:v>32435.36334573244</x:v>
      </x:c>
      <x:c r="I15" s="32" t="n">
        <x:f>I4*I14</x:f>
        <x:v>33507.14056933056</x:v>
      </x:c>
      <x:c r="J15" s="32" t="n">
        <x:f>J4*J14</x:f>
        <x:v>34222.974936038976</x:v>
      </x:c>
      <x:c r="K15" s="32" t="n">
        <x:f>K4*K14</x:f>
        <x:v>34711.874577982395</x:v>
      </x:c>
      <x:c r="L15" s="32" t="n">
        <x:f>L4*L14</x:f>
        <x:v>34954.85770002827</x:v>
      </x:c>
    </x:row>
    <x:row r="16">
      <x:c r="A16" t="str">
        <x:v>NWC % revenue</x:v>
      </x:c>
      <x:c r="B16" s="22" t="n">
        <x:v>0.02</x:v>
      </x:c>
      <x:c r="C16" s="22" t="n">
        <x:v>0.02</x:v>
      </x:c>
      <x:c r="D16" s="22" t="n">
        <x:v>0.02</x:v>
      </x:c>
      <x:c r="E16" s="22" t="n">
        <x:v>0.02</x:v>
      </x:c>
      <x:c r="F16" s="22" t="n">
        <x:v>0.02</x:v>
      </x:c>
      <x:c r="G16" s="22" t="n">
        <x:v>0.02</x:v>
      </x:c>
      <x:c r="H16" s="22" t="n">
        <x:v>0.02</x:v>
      </x:c>
      <x:c r="I16" s="22" t="n">
        <x:v>0.02</x:v>
      </x:c>
      <x:c r="J16" s="22" t="n">
        <x:v>0.02</x:v>
      </x:c>
      <x:c r="K16" s="22" t="n">
        <x:v>0.02</x:v>
      </x:c>
      <x:c r="L16" s="22" t="n">
        <x:v>0.02</x:v>
      </x:c>
    </x:row>
    <x:row r="17">
      <x:c r="A17" t="str">
        <x:v>Change in NWC</x:v>
      </x:c>
      <x:c r="B17" s="32" t="n">
        <x:v>0</x:v>
      </x:c>
      <x:c r="C17" s="32" t="n">
        <x:f>(C4-B4)*C16</x:f>
        <x:v>411.2780000000005</x:v>
      </x:c>
      <x:c r="D17" s="32" t="n">
        <x:f>(D4-C4)*D16</x:f>
        <x:v>435.3671399999998</x:v>
      </x:c>
      <x:c r="E17" s="32" t="n">
        <x:f>(E4-D4)*E16</x:f>
        <x:v>454.1214168000006</x:v>
      </x:c>
      <x:c r="F17" s="32" t="n">
        <x:f>(F4-E4)*F16</x:f>
        <x:v>466.2313212480006</x:v>
      </x:c>
      <x:c r="G17" s="32" t="n">
        <x:f>(G4-F4)*G16</x:f>
        <x:v>470.46978780480043</x:v>
      </x:c>
      <x:c r="H17" s="32" t="n">
        <x:f>(H4-G4)*H16</x:f>
        <x:v>465.7650899267523</x:v>
      </x:c>
      <x:c r="I17" s="32" t="n">
        <x:f>(I4-H4)*I16</x:f>
        <x:v>451.27462046236496</x:v>
      </x:c>
      <x:c r="J17" s="32" t="n">
        <x:f>(J4-I4)*J16</x:f>
        <x:v>426.4545163369342</x:v>
      </x:c>
      <x:c r="K17" s="32" t="n">
        <x:f>(K4-J4)*K16</x:f>
        <x:v>423.7130230176251</x:v>
      </x:c>
      <x:c r="L17" s="32" t="n">
        <x:f>(L4-K4)*L16</x:f>
        <x:v>416.54249493578914</x:v>
      </x:c>
    </x:row>
    <x:row r="18">
      <x:c r="A18" s="46" t="str">
        <x:v>FCFF</x:v>
      </x:c>
      <x:c r="B18" s="47" t="n">
        <x:f>B13+B9-B15-B17</x:f>
        <x:v>35158.5</x:v>
      </x:c>
      <x:c r="C18" s="47" t="n">
        <x:f>C13+C9-C15-C17</x:f>
        <x:v>40404.39137500001</x:v>
      </x:c>
      <x:c r="D18" s="47" t="n">
        <x:f>D13+D9-D15-D17</x:f>
        <x:v>49943.72753625001</x:v>
      </x:c>
      <x:c r="E18" s="47" t="n">
        <x:f>E13+E9-E15-E17</x:f>
        <x:v>61533.45197640002</x:v>
      </x:c>
      <x:c r="F18" s="47" t="n">
        <x:f>F13+F9-F15-F17</x:f>
        <x:v>73338.71664063002</x:v>
      </x:c>
      <x:c r="G18" s="47" t="n">
        <x:f>G13+G9-G15-G17</x:f>
        <x:v>86213.58861522963</x:v>
      </x:c>
      <x:c r="H18" s="47" t="n">
        <x:f>H13+H9-H15-H17</x:f>
        <x:v>96135.20835279813</x:v>
      </x:c>
      <x:c r="I18" s="47" t="n">
        <x:f>I13+I9-I15-I17</x:f>
        <x:v>106162.35446377122</x:v>
      </x:c>
      <x:c r="J18" s="47" t="n">
        <x:f>J13+J9-J15-J17</x:f>
        <x:v>116094.62681351005</x:v>
      </x:c>
      <x:c r="K18" s="47" t="n">
        <x:f>K13+K9-K15-K17</x:f>
        <x:v>126274.6291866181</x:v>
      </x:c>
      <x:c r="L18" s="47" t="n">
        <x:f>L13+L9-L15-L17</x:f>
        <x:v>136643.29427622765</x:v>
      </x:c>
    </x:row>
    <x:row r="19">
      <x:c r="A19" t="str">
        <x:v>Discount factor</x:v>
      </x:c>
      <x:c r="B19" s="36" t="n">
        <x:v>1</x:v>
      </x:c>
      <x:c r="C19" s="36" t="n">
        <x:f>1/(1+$B$23)^1</x:f>
        <x:v>0.9174311926605504</x:v>
      </x:c>
      <x:c r="D19" s="36" t="n">
        <x:f>1/(1+$B$23)^2</x:f>
        <x:v>0.84167999326656</x:v>
      </x:c>
      <x:c r="E19" s="36" t="n">
        <x:f>1/(1+$B$23)^3</x:f>
        <x:v>0.7721834800610642</x:v>
      </x:c>
      <x:c r="F19" s="36" t="n">
        <x:f>1/(1+$B$23)^4</x:f>
        <x:v>0.7084252110651964</x:v>
      </x:c>
      <x:c r="G19" s="36" t="n">
        <x:f>1/(1+$B$23)^5</x:f>
        <x:v>0.6499313862983452</x:v>
      </x:c>
      <x:c r="H19" s="36" t="n">
        <x:f>1/(1+$B$23)^6</x:f>
        <x:v>0.5962673268792158</x:v>
      </x:c>
      <x:c r="I19" s="36" t="n">
        <x:f>1/(1+$B$23)^7</x:f>
        <x:v>0.5470342448433173</x:v>
      </x:c>
      <x:c r="J19" s="36" t="n">
        <x:f>1/(1+$B$23)^8</x:f>
        <x:v>0.5018662796727681</x:v>
      </x:c>
      <x:c r="K19" s="36" t="n">
        <x:f>1/(1+$B$23)^9</x:f>
        <x:v>0.460427779516301</x:v>
      </x:c>
      <x:c r="L19" s="36" t="n">
        <x:f>1/(1+$B$23)^10</x:f>
        <x:v>0.42241080689568894</x:v>
      </x:c>
    </x:row>
    <x:row r="20">
      <x:c r="A20" s="46" t="str">
        <x:v>PV of FCFF</x:v>
      </x:c>
      <x:c r="B20" s="47"/>
      <x:c r="C20" s="47" t="n">
        <x:f>C18*C19</x:f>
        <x:v>37068.248967889915</x:v>
      </x:c>
      <x:c r="D20" s="47" t="n">
        <x:f>D18*D19</x:f>
        <x:v>42036.63625641781</x:v>
      </x:c>
      <x:c r="E20" s="47" t="n">
        <x:f>E18*E19</x:f>
        <x:v>47515.115087306935</x:v>
      </x:c>
      <x:c r="F20" s="47" t="n">
        <x:f>F18*F19</x:f>
        <x:v>51954.99581538895</x:v>
      </x:c>
      <x:c r="G20" s="47" t="n">
        <x:f>G18*G19</x:f>
        <x:v>56032.91716645143</x:v>
      </x:c>
      <x:c r="H20" s="47" t="n">
        <x:f>H18*H19</x:f>
        <x:v>57322.2837034994</x:v>
      </x:c>
      <x:c r="I20" s="47" t="n">
        <x:f>I18*I19</x:f>
        <x:v>58074.44340487767</x:v>
      </x:c>
      <x:c r="J20" s="47" t="n">
        <x:f>J18*J19</x:f>
        <x:v>58263.978448894675</x:v>
      </x:c>
      <x:c r="K20" s="47" t="n">
        <x:f>K18*K19</x:f>
        <x:v>58140.347125638866</x:v>
      </x:c>
      <x:c r="L20" s="47" t="n">
        <x:f>L18*L19</x:f>
        <x:v>57719.604192106395</x:v>
      </x:c>
    </x:row>
    <x:row r="22">
      <x:c r="A22" s="30" t="str">
        <x:v>DCF Valuation</x:v>
      </x:c>
    </x:row>
    <x:row r="23">
      <x:c r="A23" t="str">
        <x:v>WACC</x:v>
      </x:c>
      <x:c r="B23" s="22" t="n">
        <x:v>0.09</x:v>
      </x:c>
      <x:c r="D23" t="str">
        <x:v>RIL-attributable EV</x:v>
      </x:c>
      <x:c r="E23" s="32" t="n">
        <x:f>B29*B25</x:f>
        <x:v>1354685.8521143436</x:v>
      </x:c>
      <x:c r="M23" t="str">
        <x:v>WACC / terminal growth are analyst assumptions.</x:v>
      </x:c>
    </x:row>
    <x:row r="24">
      <x:c r="A24" t="str">
        <x:v>Terminal growth</x:v>
      </x:c>
      <x:c r="B24" s="22" t="n">
        <x:v>0.05</x:v>
      </x:c>
      <x:c r="D24" t="str">
        <x:v>Terminal value / EV</x:v>
      </x:c>
      <x:c r="E24" s="34" t="n">
        <x:f>B28/B29</x:f>
        <x:v>0.7429820289187403</x:v>
      </x:c>
    </x:row>
    <x:row r="25">
      <x:c r="A25" t="str">
        <x:v>Ownership attributable to RIL</x:v>
      </x:c>
      <x:c r="B25" s="22" t="n">
        <x:v>0.6643</x:v>
      </x:c>
      <x:c r="D25" t="str">
        <x:v>FY36 EV / EBITDA</x:v>
      </x:c>
      <x:c r="E25" s="38" t="n">
        <x:f>B29/L6</x:f>
        <x:v>9.638791031445036</x:v>
      </x:c>
    </x:row>
    <x:row r="26">
      <x:c r="A26" t="str">
        <x:v>PV of forecast FCFF</x:v>
      </x:c>
      <x:c r="B26" s="32" t="n">
        <x:f>SUM(C20:L20)</x:f>
        <x:v>524128.57016847207</x:v>
      </x:c>
    </x:row>
    <x:row r="27">
      <x:c r="A27" t="str">
        <x:v>Terminal value</x:v>
      </x:c>
      <x:c r="B27" s="32" t="n">
        <x:f>L18*(1+B24)/(B23-B24)</x:f>
        <x:v>3586886.4747509765</x:v>
      </x:c>
    </x:row>
    <x:row r="28">
      <x:c r="A28" t="str">
        <x:v>PV of terminal value</x:v>
      </x:c>
      <x:c r="B28" s="32" t="n">
        <x:f>B27*L19</x:f>
        <x:v>1515139.6100427932</x:v>
      </x:c>
    </x:row>
    <x:row r="29">
      <x:c r="A29" s="46" t="str">
        <x:v>Enterprise value</x:v>
      </x:c>
      <x:c r="B29" s="47" t="n">
        <x:f>B26+B28</x:f>
        <x:v>2039268.1802112653</x:v>
      </x:c>
    </x:row>
  </x:sheetData>
  <x:mergeCells>
    <x:mergeCell ref="A1:M1"/>
    <x:mergeCell ref="A22:F2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38" hidden="0" customWidth="1"/>
  </x:cols>
  <x:sheetData>
    <x:row r="1" ht="24" customHeight="1">
      <x:c r="A1" s="8" t="str">
        <x:v>Retail — 10-Year FCFF DCF</x:v>
      </x:c>
    </x:row>
    <x:row r="3">
      <x:c r="A3" s="14" t="str">
        <x:v>₹ crore unless stated</x:v>
      </x:c>
      <x:c r="B3" s="14" t="str">
        <x:v>FY26A</x:v>
      </x:c>
      <x:c r="C3" s="14" t="str">
        <x:v>FY27E</x:v>
      </x:c>
      <x:c r="D3" s="14" t="str">
        <x:v>FY28E</x:v>
      </x:c>
      <x:c r="E3" s="14" t="str">
        <x:v>FY29E</x:v>
      </x:c>
      <x:c r="F3" s="14" t="str">
        <x:v>FY30E</x:v>
      </x:c>
      <x:c r="G3" s="14" t="str">
        <x:v>FY31E</x:v>
      </x:c>
      <x:c r="H3" s="14" t="str">
        <x:v>FY32E</x:v>
      </x:c>
      <x:c r="I3" s="14" t="str">
        <x:v>FY33E</x:v>
      </x:c>
      <x:c r="J3" s="14" t="str">
        <x:v>FY34E</x:v>
      </x:c>
      <x:c r="K3" s="14" t="str">
        <x:v>FY35E</x:v>
      </x:c>
      <x:c r="L3" s="14" t="str">
        <x:v>FY36E</x:v>
      </x:c>
      <x:c r="M3" s="14" t="str">
        <x:v>Source / note</x:v>
      </x:c>
    </x:row>
    <x:row r="4">
      <x:c r="A4" t="str">
        <x:v>Revenue</x:v>
      </x:c>
      <x:c r="B4" s="40" t="n">
        <x:v>328202</x:v>
      </x:c>
      <x:c r="C4" s="32" t="n">
        <x:f>B4*(1+C5)</x:f>
        <x:v>374150.28</x:v>
      </x:c>
      <x:c r="D4" s="32" t="n">
        <x:f>C4*(1+D5)</x:f>
        <x:v>422789.8164</x:v>
      </x:c>
      <x:c r="E4" s="32" t="n">
        <x:f>D4*(1+E5)</x:f>
        <x:v>473524.59436800005</x:v>
      </x:c>
      <x:c r="F4" s="32" t="n">
        <x:f>E4*(1+F5)</x:f>
        <x:v>525612.2997484801</x:v>
      </x:c>
      <x:c r="G4" s="32" t="n">
        <x:f>F4*(1+G5)</x:f>
        <x:v>578173.5297233282</x:v>
      </x:c>
      <x:c r="H4" s="32" t="n">
        <x:f>G4*(1+H5)</x:f>
        <x:v>633100.0150470444</x:v>
      </x:c>
      <x:c r="I4" s="32" t="n">
        <x:f>H4*(1+I5)</x:f>
        <x:v>690079.0164012784</x:v>
      </x:c>
      <x:c r="J4" s="32" t="n">
        <x:f>I4*(1+J5)</x:f>
        <x:v>748735.732795387</x:v>
      </x:c>
      <x:c r="K4" s="32" t="n">
        <x:f>J4*(1+K5)</x:f>
        <x:v>808634.5914190181</x:v>
      </x:c>
      <x:c r="L4" s="32" t="n">
        <x:f>K4*(1+L5)</x:f>
        <x:v>869282.1857754444</x:v>
      </x:c>
      <x:c r="M4" t="str">
        <x:v>https://www.ril.com/ar2025-26/retail.html</x:v>
      </x:c>
    </x:row>
    <x:row r="5">
      <x:c r="A5" t="str">
        <x:v>Growth</x:v>
      </x:c>
      <x:c r="B5" s="41"/>
      <x:c r="C5" s="22" t="n">
        <x:v>0.14</x:v>
      </x:c>
      <x:c r="D5" s="22" t="n">
        <x:v>0.13</x:v>
      </x:c>
      <x:c r="E5" s="22" t="n">
        <x:v>0.12</x:v>
      </x:c>
      <x:c r="F5" s="22" t="n">
        <x:v>0.11</x:v>
      </x:c>
      <x:c r="G5" s="22" t="n">
        <x:v>0.1</x:v>
      </x:c>
      <x:c r="H5" s="22" t="n">
        <x:v>0.095</x:v>
      </x:c>
      <x:c r="I5" s="22" t="n">
        <x:v>0.09</x:v>
      </x:c>
      <x:c r="J5" s="22" t="n">
        <x:v>0.085</x:v>
      </x:c>
      <x:c r="K5" s="22" t="n">
        <x:v>0.08</x:v>
      </x:c>
      <x:c r="L5" s="22" t="n">
        <x:v>0.075</x:v>
      </x:c>
      <x:c r="M5" t="str">
        <x:v>Blue cells = analyst inputs; black = formulas; green = same-workbook links.</x:v>
      </x:c>
    </x:row>
    <x:row r="6">
      <x:c r="A6" t="str">
        <x:v>EBITDA margin</x:v>
      </x:c>
      <x:c r="B6" s="40" t="n">
        <x:v>27034</x:v>
      </x:c>
      <x:c r="C6" s="32" t="n">
        <x:f>C4*C7</x:f>
        <x:v>31054.473240000003</x:v>
      </x:c>
      <x:c r="D6" s="32" t="n">
        <x:f>D4*D7</x:f>
        <x:v>36359.9242104</x:v>
      </x:c>
      <x:c r="E6" s="32" t="n">
        <x:f>E4*E7</x:f>
        <x:v>42617.213493120005</x:v>
      </x:c>
      <x:c r="F6" s="32" t="n">
        <x:f>F4*F7</x:f>
        <x:v>48881.943876608646</x:v>
      </x:c>
      <x:c r="G6" s="32" t="n">
        <x:f>G4*G7</x:f>
        <x:v>54926.48532371618</x:v>
      </x:c>
      <x:c r="H6" s="32" t="n">
        <x:f>H4*H7</x:f>
        <x:v>61410.70145956331</x:v>
      </x:c>
      <x:c r="I6" s="32" t="n">
        <x:f>I4*I7</x:f>
        <x:v>68317.82262372656</x:v>
      </x:c>
      <x:c r="J6" s="32" t="n">
        <x:f>J4*J7</x:f>
        <x:v>74873.5732795387</x:v>
      </x:c>
      <x:c r="K6" s="32" t="n">
        <x:f>K4*K7</x:f>
        <x:v>82480.72832473984</x:v>
      </x:c>
      <x:c r="L6" s="32" t="n">
        <x:f>L4*L7</x:f>
        <x:v>89536.06513487076</x:v>
      </x:c>
    </x:row>
    <x:row r="7">
      <x:c r="A7" t="str">
        <x:v>EBITDA</x:v>
      </x:c>
      <x:c r="B7" s="34" t="n">
        <x:f>IFERROR(B6/B4,0)</x:f>
        <x:v>0.08237000383909909</x:v>
      </x:c>
      <x:c r="C7" s="22" t="n">
        <x:v>0.083</x:v>
      </x:c>
      <x:c r="D7" s="22" t="n">
        <x:v>0.086</x:v>
      </x:c>
      <x:c r="E7" s="22" t="n">
        <x:v>0.09</x:v>
      </x:c>
      <x:c r="F7" s="22" t="n">
        <x:v>0.093</x:v>
      </x:c>
      <x:c r="G7" s="22" t="n">
        <x:v>0.095</x:v>
      </x:c>
      <x:c r="H7" s="22" t="n">
        <x:v>0.097</x:v>
      </x:c>
      <x:c r="I7" s="22" t="n">
        <x:v>0.099</x:v>
      </x:c>
      <x:c r="J7" s="22" t="n">
        <x:v>0.1</x:v>
      </x:c>
      <x:c r="K7" s="22" t="n">
        <x:v>0.102</x:v>
      </x:c>
      <x:c r="L7" s="22" t="n">
        <x:v>0.103</x:v>
      </x:c>
    </x:row>
    <x:row r="8">
      <x:c r="A8" t="str">
        <x:v>D&amp;A % revenue</x:v>
      </x:c>
      <x:c r="B8" s="34" t="n">
        <x:v>0.019</x:v>
      </x:c>
      <x:c r="C8" s="22" t="n">
        <x:v>0.019</x:v>
      </x:c>
      <x:c r="D8" s="22" t="n">
        <x:v>0.019</x:v>
      </x:c>
      <x:c r="E8" s="22" t="n">
        <x:v>0.019</x:v>
      </x:c>
      <x:c r="F8" s="22" t="n">
        <x:v>0.019</x:v>
      </x:c>
      <x:c r="G8" s="22" t="n">
        <x:v>0.019</x:v>
      </x:c>
      <x:c r="H8" s="22" t="n">
        <x:v>0.019</x:v>
      </x:c>
      <x:c r="I8" s="22" t="n">
        <x:v>0.019</x:v>
      </x:c>
      <x:c r="J8" s="22" t="n">
        <x:v>0.019</x:v>
      </x:c>
      <x:c r="K8" s="22" t="n">
        <x:v>0.019</x:v>
      </x:c>
      <x:c r="L8" s="22" t="n">
        <x:v>0.019</x:v>
      </x:c>
    </x:row>
    <x:row r="9">
      <x:c r="A9" t="str">
        <x:v>D&amp;A</x:v>
      </x:c>
      <x:c r="B9" s="32" t="n">
        <x:f>B4*B8</x:f>
        <x:v>6235.838</x:v>
      </x:c>
      <x:c r="C9" s="32" t="n">
        <x:f>C4*C8</x:f>
        <x:v>7108.855320000001</x:v>
      </x:c>
      <x:c r="D9" s="32" t="n">
        <x:f>D4*D8</x:f>
        <x:v>8033.0065116</x:v>
      </x:c>
      <x:c r="E9" s="32" t="n">
        <x:f>E4*E8</x:f>
        <x:v>8996.967292992002</x:v>
      </x:c>
      <x:c r="F9" s="32" t="n">
        <x:f>F4*F8</x:f>
        <x:v>9986.633695221122</x:v>
      </x:c>
      <x:c r="G9" s="32" t="n">
        <x:f>G4*G8</x:f>
        <x:v>10985.297064743236</x:v>
      </x:c>
      <x:c r="H9" s="32" t="n">
        <x:f>H4*H8</x:f>
        <x:v>12028.900285893842</x:v>
      </x:c>
      <x:c r="I9" s="32" t="n">
        <x:f>I4*I8</x:f>
        <x:v>13111.50131162429</x:v>
      </x:c>
      <x:c r="J9" s="32" t="n">
        <x:f>J4*J8</x:f>
        <x:v>14225.978923112354</x:v>
      </x:c>
      <x:c r="K9" s="32" t="n">
        <x:f>K4*K8</x:f>
        <x:v>15364.057236961344</x:v>
      </x:c>
      <x:c r="L9" s="32" t="n">
        <x:f>L4*L8</x:f>
        <x:v>16516.361529733444</x:v>
      </x:c>
    </x:row>
    <x:row r="10">
      <x:c r="A10" t="str">
        <x:v>EBIT</x:v>
      </x:c>
      <x:c r="B10" s="32" t="n">
        <x:f>B6-B9</x:f>
        <x:v>20798.162</x:v>
      </x:c>
      <x:c r="C10" s="32" t="n">
        <x:f>C6-C9</x:f>
        <x:v>23945.617920000004</x:v>
      </x:c>
      <x:c r="D10" s="32" t="n">
        <x:f>D6-D9</x:f>
        <x:v>28326.9176988</x:v>
      </x:c>
      <x:c r="E10" s="32" t="n">
        <x:f>E6-E9</x:f>
        <x:v>33620.24620012801</x:v>
      </x:c>
      <x:c r="F10" s="32" t="n">
        <x:f>F6-F9</x:f>
        <x:v>38895.310181387526</x:v>
      </x:c>
      <x:c r="G10" s="32" t="n">
        <x:f>G6-G9</x:f>
        <x:v>43941.18825897294</x:v>
      </x:c>
      <x:c r="H10" s="32" t="n">
        <x:f>H6-H9</x:f>
        <x:v>49381.80117366947</x:v>
      </x:c>
      <x:c r="I10" s="32" t="n">
        <x:f>I6-I9</x:f>
        <x:v>55206.32131210227</x:v>
      </x:c>
      <x:c r="J10" s="32" t="n">
        <x:f>J6-J9</x:f>
        <x:v>60647.59435642634</x:v>
      </x:c>
      <x:c r="K10" s="32" t="n">
        <x:f>K6-K9</x:f>
        <x:v>67116.6710877785</x:v>
      </x:c>
      <x:c r="L10" s="32" t="n">
        <x:f>L6-L9</x:f>
        <x:v>73019.70360513731</x:v>
      </x:c>
    </x:row>
    <x:row r="11">
      <x:c r="A11" t="str">
        <x:v>Cash tax rate</x:v>
      </x:c>
      <x:c r="B11" s="44" t="n">
        <x:f>'Global Inputs'!$B$10</x:f>
        <x:v>0.25</x:v>
      </x:c>
      <x:c r="C11" s="44" t="n">
        <x:f>'Global Inputs'!$B$10</x:f>
        <x:v>0.25</x:v>
      </x:c>
      <x:c r="D11" s="44" t="n">
        <x:f>'Global Inputs'!$B$10</x:f>
        <x:v>0.25</x:v>
      </x:c>
      <x:c r="E11" s="44" t="n">
        <x:f>'Global Inputs'!$B$10</x:f>
        <x:v>0.25</x:v>
      </x:c>
      <x:c r="F11" s="44" t="n">
        <x:f>'Global Inputs'!$B$10</x:f>
        <x:v>0.25</x:v>
      </x:c>
      <x:c r="G11" s="44" t="n">
        <x:f>'Global Inputs'!$B$10</x:f>
        <x:v>0.25</x:v>
      </x:c>
      <x:c r="H11" s="44" t="n">
        <x:f>'Global Inputs'!$B$10</x:f>
        <x:v>0.25</x:v>
      </x:c>
      <x:c r="I11" s="44" t="n">
        <x:f>'Global Inputs'!$B$10</x:f>
        <x:v>0.25</x:v>
      </x:c>
      <x:c r="J11" s="44" t="n">
        <x:f>'Global Inputs'!$B$10</x:f>
        <x:v>0.25</x:v>
      </x:c>
      <x:c r="K11" s="44" t="n">
        <x:f>'Global Inputs'!$B$10</x:f>
        <x:v>0.25</x:v>
      </x:c>
      <x:c r="L11" s="44" t="n">
        <x:f>'Global Inputs'!$B$10</x:f>
        <x:v>0.25</x:v>
      </x:c>
    </x:row>
    <x:row r="12">
      <x:c r="A12" t="str">
        <x:v>Cash taxes</x:v>
      </x:c>
      <x:c r="B12" s="32" t="n">
        <x:f>MAX(0,B10*B11)</x:f>
        <x:v>5199.5405</x:v>
      </x:c>
      <x:c r="C12" s="32" t="n">
        <x:f>MAX(0,C10*C11)</x:f>
        <x:v>5986.404480000001</x:v>
      </x:c>
      <x:c r="D12" s="32" t="n">
        <x:f>MAX(0,D10*D11)</x:f>
        <x:v>7081.7294247</x:v>
      </x:c>
      <x:c r="E12" s="32" t="n">
        <x:f>MAX(0,E10*E11)</x:f>
        <x:v>8405.061550032002</x:v>
      </x:c>
      <x:c r="F12" s="32" t="n">
        <x:f>MAX(0,F10*F11)</x:f>
        <x:v>9723.827545346881</x:v>
      </x:c>
      <x:c r="G12" s="32" t="n">
        <x:f>MAX(0,G10*G11)</x:f>
        <x:v>10985.297064743236</x:v>
      </x:c>
      <x:c r="H12" s="32" t="n">
        <x:f>MAX(0,H10*H11)</x:f>
        <x:v>12345.450293417367</x:v>
      </x:c>
      <x:c r="I12" s="32" t="n">
        <x:f>MAX(0,I10*I11)</x:f>
        <x:v>13801.580328025568</x:v>
      </x:c>
      <x:c r="J12" s="32" t="n">
        <x:f>MAX(0,J10*J11)</x:f>
        <x:v>15161.898589106586</x:v>
      </x:c>
      <x:c r="K12" s="32" t="n">
        <x:f>MAX(0,K10*K11)</x:f>
        <x:v>16779.167771944623</x:v>
      </x:c>
      <x:c r="L12" s="32" t="n">
        <x:f>MAX(0,L10*L11)</x:f>
        <x:v>18254.92590128433</x:v>
      </x:c>
    </x:row>
    <x:row r="13">
      <x:c r="A13" t="str">
        <x:v>NOPAT</x:v>
      </x:c>
      <x:c r="B13" s="32" t="n">
        <x:f>B10-B12</x:f>
        <x:v>15598.621500000001</x:v>
      </x:c>
      <x:c r="C13" s="32" t="n">
        <x:f>C10-C12</x:f>
        <x:v>17959.213440000003</x:v>
      </x:c>
      <x:c r="D13" s="32" t="n">
        <x:f>D10-D12</x:f>
        <x:v>21245.1882741</x:v>
      </x:c>
      <x:c r="E13" s="32" t="n">
        <x:f>E10-E12</x:f>
        <x:v>25215.184650096005</x:v>
      </x:c>
      <x:c r="F13" s="32" t="n">
        <x:f>F10-F12</x:f>
        <x:v>29171.482636040644</x:v>
      </x:c>
      <x:c r="G13" s="32" t="n">
        <x:f>G10-G12</x:f>
        <x:v>32955.891194229705</x:v>
      </x:c>
      <x:c r="H13" s="32" t="n">
        <x:f>H10-H12</x:f>
        <x:v>37036.3508802521</x:v>
      </x:c>
      <x:c r="I13" s="32" t="n">
        <x:f>I10-I12</x:f>
        <x:v>41404.74098407671</x:v>
      </x:c>
      <x:c r="J13" s="32" t="n">
        <x:f>J10-J12</x:f>
        <x:v>45485.69576731976</x:v>
      </x:c>
      <x:c r="K13" s="32" t="n">
        <x:f>K10-K12</x:f>
        <x:v>50337.50331583387</x:v>
      </x:c>
      <x:c r="L13" s="32" t="n">
        <x:f>L10-L12</x:f>
        <x:v>54764.77770385299</x:v>
      </x:c>
    </x:row>
    <x:row r="14">
      <x:c r="A14" t="str">
        <x:v>Capex % revenue</x:v>
      </x:c>
      <x:c r="B14" s="34" t="n">
        <x:v>0.06</x:v>
      </x:c>
      <x:c r="C14" s="22" t="n">
        <x:v>0.06</x:v>
      </x:c>
      <x:c r="D14" s="22" t="n">
        <x:v>0.058</x:v>
      </x:c>
      <x:c r="E14" s="22" t="n">
        <x:v>0.055</x:v>
      </x:c>
      <x:c r="F14" s="22" t="n">
        <x:v>0.05</x:v>
      </x:c>
      <x:c r="G14" s="22" t="n">
        <x:v>0.045</x:v>
      </x:c>
      <x:c r="H14" s="22" t="n">
        <x:v>0.043</x:v>
      </x:c>
      <x:c r="I14" s="22" t="n">
        <x:v>0.042</x:v>
      </x:c>
      <x:c r="J14" s="22" t="n">
        <x:v>0.041</x:v>
      </x:c>
      <x:c r="K14" s="22" t="n">
        <x:v>0.04</x:v>
      </x:c>
      <x:c r="L14" s="22" t="n">
        <x:v>0.04</x:v>
      </x:c>
    </x:row>
    <x:row r="15">
      <x:c r="A15" t="str">
        <x:v>Capex</x:v>
      </x:c>
      <x:c r="B15" s="32" t="n">
        <x:f>B4*B14</x:f>
        <x:v>19692.12</x:v>
      </x:c>
      <x:c r="C15" s="32" t="n">
        <x:f>C4*C14</x:f>
        <x:v>22449.0168</x:v>
      </x:c>
      <x:c r="D15" s="32" t="n">
        <x:f>D4*D14</x:f>
        <x:v>24521.8093512</x:v>
      </x:c>
      <x:c r="E15" s="32" t="n">
        <x:f>E4*E14</x:f>
        <x:v>26043.852690240004</x:v>
      </x:c>
      <x:c r="F15" s="32" t="n">
        <x:f>F4*F14</x:f>
        <x:v>26280.614987424007</x:v>
      </x:c>
      <x:c r="G15" s="32" t="n">
        <x:f>G4*G14</x:f>
        <x:v>26017.80883754977</x:v>
      </x:c>
      <x:c r="H15" s="32" t="n">
        <x:f>H4*H14</x:f>
        <x:v>27223.300647022905</x:v>
      </x:c>
      <x:c r="I15" s="32" t="n">
        <x:f>I4*I14</x:f>
        <x:v>28983.318688853695</x:v>
      </x:c>
      <x:c r="J15" s="32" t="n">
        <x:f>J4*J14</x:f>
        <x:v>30698.16504461087</x:v>
      </x:c>
      <x:c r="K15" s="32" t="n">
        <x:f>K4*K14</x:f>
        <x:v>32345.383656760725</x:v>
      </x:c>
      <x:c r="L15" s="32" t="n">
        <x:f>L4*L14</x:f>
        <x:v>34771.28743101777</x:v>
      </x:c>
    </x:row>
    <x:row r="16">
      <x:c r="A16" t="str">
        <x:v>NWC % revenue</x:v>
      </x:c>
      <x:c r="B16" s="22" t="n">
        <x:v>0.04</x:v>
      </x:c>
      <x:c r="C16" s="22" t="n">
        <x:v>0.04</x:v>
      </x:c>
      <x:c r="D16" s="22" t="n">
        <x:v>0.04</x:v>
      </x:c>
      <x:c r="E16" s="22" t="n">
        <x:v>0.04</x:v>
      </x:c>
      <x:c r="F16" s="22" t="n">
        <x:v>0.04</x:v>
      </x:c>
      <x:c r="G16" s="22" t="n">
        <x:v>0.04</x:v>
      </x:c>
      <x:c r="H16" s="22" t="n">
        <x:v>0.04</x:v>
      </x:c>
      <x:c r="I16" s="22" t="n">
        <x:v>0.04</x:v>
      </x:c>
      <x:c r="J16" s="22" t="n">
        <x:v>0.04</x:v>
      </x:c>
      <x:c r="K16" s="22" t="n">
        <x:v>0.04</x:v>
      </x:c>
      <x:c r="L16" s="22" t="n">
        <x:v>0.04</x:v>
      </x:c>
    </x:row>
    <x:row r="17">
      <x:c r="A17" t="str">
        <x:v>Change in NWC</x:v>
      </x:c>
      <x:c r="B17" s="32" t="n">
        <x:v>0</x:v>
      </x:c>
      <x:c r="C17" s="32" t="n">
        <x:f>(C4-B4)*C16</x:f>
        <x:v>1837.9312000000011</x:v>
      </x:c>
      <x:c r="D17" s="32" t="n">
        <x:f>(D4-C4)*D16</x:f>
        <x:v>1945.5814559999994</x:v>
      </x:c>
      <x:c r="E17" s="32" t="n">
        <x:f>(E4-D4)*E16</x:f>
        <x:v>2029.3911187200015</x:v>
      </x:c>
      <x:c r="F17" s="32" t="n">
        <x:f>(F4-E4)*F16</x:f>
        <x:v>2083.5082152192017</x:v>
      </x:c>
      <x:c r="G17" s="32" t="n">
        <x:f>(G4-F4)*G16</x:f>
        <x:v>2102.4491989939243</x:v>
      </x:c>
      <x:c r="H17" s="32" t="n">
        <x:f>(H4-G4)*H16</x:f>
        <x:v>2197.0594129486476</x:v>
      </x:c>
      <x:c r="I17" s="32" t="n">
        <x:f>(I4-H4)*I16</x:f>
        <x:v>2279.1600541693624</x:v>
      </x:c>
      <x:c r="J17" s="32" t="n">
        <x:f>(J4-I4)*J16</x:f>
        <x:v>2346.268655764344</x:v>
      </x:c>
      <x:c r="K17" s="32" t="n">
        <x:f>(K4-J4)*K16</x:f>
        <x:v>2395.9543449452426</x:v>
      </x:c>
      <x:c r="L17" s="32" t="n">
        <x:f>(L4-K4)*L16</x:f>
        <x:v>2425.903774257051</x:v>
      </x:c>
    </x:row>
    <x:row r="18">
      <x:c r="A18" s="46" t="str">
        <x:v>FCFF</x:v>
      </x:c>
      <x:c r="B18" s="47" t="n">
        <x:f>B13+B9-B15-B17</x:f>
        <x:v>2142.339500000002</x:v>
      </x:c>
      <x:c r="C18" s="47" t="n">
        <x:f>C13+C9-C15-C17</x:f>
        <x:v>781.1207599999996</x:v>
      </x:c>
      <x:c r="D18" s="47" t="n">
        <x:f>D13+D9-D15-D17</x:f>
        <x:v>2810.8039785000005</x:v>
      </x:c>
      <x:c r="E18" s="47" t="n">
        <x:f>E13+E9-E15-E17</x:f>
        <x:v>6138.908134128002</x:v>
      </x:c>
      <x:c r="F18" s="47" t="n">
        <x:f>F13+F9-F15-F17</x:f>
        <x:v>10793.993128618557</x:v>
      </x:c>
      <x:c r="G18" s="47" t="n">
        <x:f>G13+G9-G15-G17</x:f>
        <x:v>15820.930222429251</x:v>
      </x:c>
      <x:c r="H18" s="47" t="n">
        <x:f>H13+H9-H15-H17</x:f>
        <x:v>19644.89110617439</x:v>
      </x:c>
      <x:c r="I18" s="47" t="n">
        <x:f>I13+I9-I15-I17</x:f>
        <x:v>23253.76355267794</x:v>
      </x:c>
      <x:c r="J18" s="47" t="n">
        <x:f>J13+J9-J15-J17</x:f>
        <x:v>26667.240990056907</x:v>
      </x:c>
      <x:c r="K18" s="47" t="n">
        <x:f>K13+K9-K15-K17</x:f>
        <x:v>30960.22255108925</x:v>
      </x:c>
      <x:c r="L18" s="47" t="n">
        <x:f>L13+L9-L15-L17</x:f>
        <x:v>34083.94802831161</x:v>
      </x:c>
    </x:row>
    <x:row r="19">
      <x:c r="A19" t="str">
        <x:v>Discount factor</x:v>
      </x:c>
      <x:c r="B19" s="36" t="n">
        <x:v>1</x:v>
      </x:c>
      <x:c r="C19" s="36" t="n">
        <x:f>1/(1+$B$23)^1</x:f>
        <x:v>0.9132420091324202</x:v>
      </x:c>
      <x:c r="D19" s="36" t="n">
        <x:f>1/(1+$B$23)^2</x:f>
        <x:v>0.8340109672442193</x:v>
      </x:c>
      <x:c r="E19" s="36" t="n">
        <x:f>1/(1+$B$23)^3</x:f>
        <x:v>0.7616538513645839</x:v>
      </x:c>
      <x:c r="F19" s="36" t="n">
        <x:f>1/(1+$B$23)^4</x:f>
        <x:v>0.6955742934836382</x:v>
      </x:c>
      <x:c r="G19" s="36" t="n">
        <x:f>1/(1+$B$23)^5</x:f>
        <x:v>0.6352276652818614</x:v>
      </x:c>
      <x:c r="H19" s="36" t="n">
        <x:f>1/(1+$B$23)^6</x:f>
        <x:v>0.5801165892985035</x:v>
      </x:c>
      <x:c r="I19" s="36" t="n">
        <x:f>1/(1+$B$23)^7</x:f>
        <x:v>0.5297868395420123</x:v>
      </x:c>
      <x:c r="J19" s="36" t="n">
        <x:f>1/(1+$B$23)^8</x:f>
        <x:v>0.4838235977552624</x:v>
      </x:c>
      <x:c r="K19" s="36" t="n">
        <x:f>1/(1+$B$23)^9</x:f>
        <x:v>0.44184803447969173</x:v>
      </x:c>
      <x:c r="L19" s="36" t="n">
        <x:f>1/(1+$B$23)^10</x:f>
        <x:v>0.40351418673944445</x:v>
      </x:c>
    </x:row>
    <x:row r="20">
      <x:c r="A20" s="46" t="str">
        <x:v>PV of FCFF</x:v>
      </x:c>
      <x:c r="B20" s="47"/>
      <x:c r="C20" s="47" t="n">
        <x:f>C18*C19</x:f>
        <x:v>713.3522922374426</x:v>
      </x:c>
      <x:c r="D20" s="47" t="n">
        <x:f>D18*D19</x:f>
        <x:v>2344.241344842685</x:v>
      </x:c>
      <x:c r="E20" s="47" t="n">
        <x:f>E18*E19</x:f>
        <x:v>4675.723023531964</x:v>
      </x:c>
      <x:c r="F20" s="47" t="n">
        <x:f>F18*F19</x:f>
        <x:v>7508.024144306098</x:v>
      </x:c>
      <x:c r="G20" s="47" t="n">
        <x:f>G18*G19</x:f>
        <x:v>10049.892567780973</x:v>
      </x:c>
      <x:c r="H20" s="47" t="n">
        <x:f>H18*H19</x:f>
        <x:v>11396.327225654393</x:v>
      </x:c>
      <x:c r="I20" s="47" t="n">
        <x:f>I18*I19</x:f>
        <x:v>12319.537900030484</x:v>
      </x:c>
      <x:c r="J20" s="47" t="n">
        <x:f>J18*J19</x:f>
        <x:v>12902.24047801594</x:v>
      </x:c>
      <x:c r="K20" s="47" t="n">
        <x:f>K18*K19</x:f>
        <x:v>13679.713481252613</x:v>
      </x:c>
      <x:c r="L20" s="47" t="n">
        <x:f>L18*L19</x:f>
        <x:v>13753.356569513651</x:v>
      </x:c>
    </x:row>
    <x:row r="22">
      <x:c r="A22" s="30" t="str">
        <x:v>DCF Valuation</x:v>
      </x:c>
    </x:row>
    <x:row r="23">
      <x:c r="A23" t="str">
        <x:v>WACC</x:v>
      </x:c>
      <x:c r="B23" s="22" t="n">
        <x:v>0.095</x:v>
      </x:c>
      <x:c r="D23" t="str">
        <x:v>RIL-attributable EV</x:v>
      </x:c>
      <x:c r="E23" s="32" t="n">
        <x:f>B29*B25</x:f>
        <x:v>377764.05475078296</x:v>
      </x:c>
      <x:c r="M23" t="str">
        <x:v>WACC / terminal growth are analyst assumptions.</x:v>
      </x:c>
    </x:row>
    <x:row r="24">
      <x:c r="A24" t="str">
        <x:v>Terminal growth</x:v>
      </x:c>
      <x:c r="B24" s="22" t="n">
        <x:v>0.055</x:v>
      </x:c>
      <x:c r="D24" t="str">
        <x:v>Terminal value / EV</x:v>
      </x:c>
      <x:c r="E24" s="34" t="n">
        <x:f>B28/B29</x:f>
        <x:v>0.8023779233512545</x:v>
      </x:c>
    </x:row>
    <x:row r="25">
      <x:c r="A25" t="str">
        <x:v>Ownership attributable to RIL</x:v>
      </x:c>
      <x:c r="B25" s="22" t="n">
        <x:v>0.8356</x:v>
      </x:c>
      <x:c r="D25" t="str">
        <x:v>FY36 EV / EBITDA</x:v>
      </x:c>
      <x:c r="E25" s="38" t="n">
        <x:f>B29/L6</x:f>
        <x:v>5.049218857977473</x:v>
      </x:c>
    </x:row>
    <x:row r="26">
      <x:c r="A26" t="str">
        <x:v>PV of forecast FCFF</x:v>
      </x:c>
      <x:c r="B26" s="32" t="n">
        <x:f>SUM(C20:L20)</x:f>
        <x:v>89342.40902716624</x:v>
      </x:c>
    </x:row>
    <x:row r="27">
      <x:c r="A27" t="str">
        <x:v>Terminal value</x:v>
      </x:c>
      <x:c r="B27" s="32" t="n">
        <x:f>L18*(1+B24)/(B23-B24)</x:f>
        <x:v>898964.1292467187</x:v>
      </x:c>
    </x:row>
    <x:row r="28">
      <x:c r="A28" t="str">
        <x:v>PV of terminal value</x:v>
      </x:c>
      <x:c r="B28" s="32" t="n">
        <x:f>B27*L19</x:f>
        <x:v>362744.7795209225</x:v>
      </x:c>
    </x:row>
    <x:row r="29">
      <x:c r="A29" s="46" t="str">
        <x:v>Enterprise value</x:v>
      </x:c>
      <x:c r="B29" s="47" t="n">
        <x:f>B26+B28</x:f>
        <x:v>452087.1885480888</x:v>
      </x:c>
    </x:row>
  </x:sheetData>
  <x:mergeCells>
    <x:mergeCell ref="A1:M1"/>
    <x:mergeCell ref="A22:F2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38" hidden="0" customWidth="1"/>
  </x:cols>
  <x:sheetData>
    <x:row r="1" ht="24" customHeight="1">
      <x:c r="A1" s="8" t="str">
        <x:v>O2C — 10-Year FCFF DCF</x:v>
      </x:c>
    </x:row>
    <x:row r="3">
      <x:c r="A3" s="14" t="str">
        <x:v>₹ crore unless stated</x:v>
      </x:c>
      <x:c r="B3" s="14" t="str">
        <x:v>FY26A</x:v>
      </x:c>
      <x:c r="C3" s="14" t="str">
        <x:v>FY27E</x:v>
      </x:c>
      <x:c r="D3" s="14" t="str">
        <x:v>FY28E</x:v>
      </x:c>
      <x:c r="E3" s="14" t="str">
        <x:v>FY29E</x:v>
      </x:c>
      <x:c r="F3" s="14" t="str">
        <x:v>FY30E</x:v>
      </x:c>
      <x:c r="G3" s="14" t="str">
        <x:v>FY31E</x:v>
      </x:c>
      <x:c r="H3" s="14" t="str">
        <x:v>FY32E</x:v>
      </x:c>
      <x:c r="I3" s="14" t="str">
        <x:v>FY33E</x:v>
      </x:c>
      <x:c r="J3" s="14" t="str">
        <x:v>FY34E</x:v>
      </x:c>
      <x:c r="K3" s="14" t="str">
        <x:v>FY35E</x:v>
      </x:c>
      <x:c r="L3" s="14" t="str">
        <x:v>FY36E</x:v>
      </x:c>
      <x:c r="M3" s="14" t="str">
        <x:v>Source / note</x:v>
      </x:c>
    </x:row>
    <x:row r="4">
      <x:c r="A4" t="str">
        <x:v>Revenue</x:v>
      </x:c>
      <x:c r="B4" s="40" t="n">
        <x:v>662401</x:v>
      </x:c>
      <x:c r="C4" s="32" t="n">
        <x:f>B4*(1+C5)</x:f>
        <x:v>682273.03</x:v>
      </x:c>
      <x:c r="D4" s="32" t="n">
        <x:f>C4*(1+D5)</x:f>
        <x:v>702741.2209000001</x:v>
      </x:c>
      <x:c r="E4" s="32" t="n">
        <x:f>D4*(1+E5)</x:f>
        <x:v>730850.8697360001</x:v>
      </x:c>
      <x:c r="F4" s="32" t="n">
        <x:f>E4*(1+F5)</x:f>
        <x:v>760084.9045254401</x:v>
      </x:c>
      <x:c r="G4" s="32" t="n">
        <x:f>F4*(1+G5)</x:f>
        <x:v>790488.3007064577</x:v>
      </x:c>
      <x:c r="H4" s="32" t="n">
        <x:f>G4*(1+H5)</x:f>
        <x:v>818155.3912311837</x:v>
      </x:c>
      <x:c r="I4" s="32" t="n">
        <x:f>H4*(1+I5)</x:f>
        <x:v>846790.829924275</x:v>
      </x:c>
      <x:c r="J4" s="32" t="n">
        <x:f>I4*(1+J5)</x:f>
        <x:v>872194.5548220034</x:v>
      </x:c>
      <x:c r="K4" s="32" t="n">
        <x:f>J4*(1+K5)</x:f>
        <x:v>898360.3914666635</x:v>
      </x:c>
      <x:c r="L4" s="32" t="n">
        <x:f>K4*(1+L5)</x:f>
        <x:v>925311.2032106634</x:v>
      </x:c>
      <x:c r="M4" t="str">
        <x:v>https://www.ril.com/sites/default/files/2026-04/FY2025-26_RIL_Analyst_Meeting.pdf</x:v>
      </x:c>
    </x:row>
    <x:row r="5">
      <x:c r="A5" t="str">
        <x:v>Growth</x:v>
      </x:c>
      <x:c r="B5" s="41"/>
      <x:c r="C5" s="22" t="n">
        <x:v>0.03</x:v>
      </x:c>
      <x:c r="D5" s="22" t="n">
        <x:v>0.03</x:v>
      </x:c>
      <x:c r="E5" s="22" t="n">
        <x:v>0.04</x:v>
      </x:c>
      <x:c r="F5" s="22" t="n">
        <x:v>0.04</x:v>
      </x:c>
      <x:c r="G5" s="22" t="n">
        <x:v>0.04</x:v>
      </x:c>
      <x:c r="H5" s="22" t="n">
        <x:v>0.035</x:v>
      </x:c>
      <x:c r="I5" s="22" t="n">
        <x:v>0.035</x:v>
      </x:c>
      <x:c r="J5" s="22" t="n">
        <x:v>0.03</x:v>
      </x:c>
      <x:c r="K5" s="22" t="n">
        <x:v>0.03</x:v>
      </x:c>
      <x:c r="L5" s="22" t="n">
        <x:v>0.03</x:v>
      </x:c>
      <x:c r="M5" t="str">
        <x:v>Blue cells = analyst inputs; black = formulas; green = same-workbook links.</x:v>
      </x:c>
    </x:row>
    <x:row r="6">
      <x:c r="A6" t="str">
        <x:v>EBITDA margin</x:v>
      </x:c>
      <x:c r="B6" s="40" t="n">
        <x:v>60546</x:v>
      </x:c>
      <x:c r="C6" s="32" t="n">
        <x:f>C4*C7</x:f>
        <x:v>63451.39179</x:v>
      </x:c>
      <x:c r="D6" s="32" t="n">
        <x:f>D4*D7</x:f>
        <x:v>66057.6747646</x:v>
      </x:c>
      <x:c r="E6" s="32" t="n">
        <x:f>E4*E7</x:f>
        <x:v>69430.83262492</x:v>
      </x:c>
      <x:c r="F6" s="32" t="n">
        <x:f>F4*F7</x:f>
        <x:v>72208.0659299168</x:v>
      </x:c>
      <x:c r="G6" s="32" t="n">
        <x:f>G4*G7</x:f>
        <x:v>75096.38856711348</x:v>
      </x:c>
      <x:c r="H6" s="32" t="n">
        <x:f>H4*H7</x:f>
        <x:v>76906.60677573127</x:v>
      </x:c>
      <x:c r="I6" s="32" t="n">
        <x:f>I4*I7</x:f>
        <x:v>78751.54718295758</x:v>
      </x:c>
      <x:c r="J6" s="32" t="n">
        <x:f>J4*J7</x:f>
        <x:v>80241.8990436243</x:v>
      </x:c>
      <x:c r="K6" s="32" t="n">
        <x:f>K4*K7</x:f>
        <x:v>81750.79562346637</x:v>
      </x:c>
      <x:c r="L6" s="32" t="n">
        <x:f>L4*L7</x:f>
        <x:v>83278.0082889597</x:v>
      </x:c>
    </x:row>
    <x:row r="7">
      <x:c r="A7" t="str">
        <x:v>EBITDA</x:v>
      </x:c>
      <x:c r="B7" s="34" t="n">
        <x:f>IFERROR(B6/B4,0)</x:f>
        <x:v>0.09140384751834614</x:v>
      </x:c>
      <x:c r="C7" s="22" t="n">
        <x:v>0.093</x:v>
      </x:c>
      <x:c r="D7" s="22" t="n">
        <x:v>0.094</x:v>
      </x:c>
      <x:c r="E7" s="22" t="n">
        <x:v>0.095</x:v>
      </x:c>
      <x:c r="F7" s="22" t="n">
        <x:v>0.095</x:v>
      </x:c>
      <x:c r="G7" s="22" t="n">
        <x:v>0.095</x:v>
      </x:c>
      <x:c r="H7" s="22" t="n">
        <x:v>0.094</x:v>
      </x:c>
      <x:c r="I7" s="22" t="n">
        <x:v>0.093</x:v>
      </x:c>
      <x:c r="J7" s="22" t="n">
        <x:v>0.092</x:v>
      </x:c>
      <x:c r="K7" s="22" t="n">
        <x:v>0.091</x:v>
      </x:c>
      <x:c r="L7" s="22" t="n">
        <x:v>0.09</x:v>
      </x:c>
    </x:row>
    <x:row r="8">
      <x:c r="A8" t="str">
        <x:v>D&amp;A % revenue</x:v>
      </x:c>
      <x:c r="B8" s="34" t="n">
        <x:v>0.015</x:v>
      </x:c>
      <x:c r="C8" s="22" t="n">
        <x:v>0.015</x:v>
      </x:c>
      <x:c r="D8" s="22" t="n">
        <x:v>0.015</x:v>
      </x:c>
      <x:c r="E8" s="22" t="n">
        <x:v>0.015</x:v>
      </x:c>
      <x:c r="F8" s="22" t="n">
        <x:v>0.015</x:v>
      </x:c>
      <x:c r="G8" s="22" t="n">
        <x:v>0.015</x:v>
      </x:c>
      <x:c r="H8" s="22" t="n">
        <x:v>0.015</x:v>
      </x:c>
      <x:c r="I8" s="22" t="n">
        <x:v>0.015</x:v>
      </x:c>
      <x:c r="J8" s="22" t="n">
        <x:v>0.015</x:v>
      </x:c>
      <x:c r="K8" s="22" t="n">
        <x:v>0.015</x:v>
      </x:c>
      <x:c r="L8" s="22" t="n">
        <x:v>0.015</x:v>
      </x:c>
    </x:row>
    <x:row r="9">
      <x:c r="A9" t="str">
        <x:v>D&amp;A</x:v>
      </x:c>
      <x:c r="B9" s="32" t="n">
        <x:f>B4*B8</x:f>
        <x:v>9936.015</x:v>
      </x:c>
      <x:c r="C9" s="32" t="n">
        <x:f>C4*C8</x:f>
        <x:v>10234.09545</x:v>
      </x:c>
      <x:c r="D9" s="32" t="n">
        <x:f>D4*D8</x:f>
        <x:v>10541.118313500001</x:v>
      </x:c>
      <x:c r="E9" s="32" t="n">
        <x:f>E4*E8</x:f>
        <x:v>10962.763046040001</x:v>
      </x:c>
      <x:c r="F9" s="32" t="n">
        <x:f>F4*F8</x:f>
        <x:v>11401.2735678816</x:v>
      </x:c>
      <x:c r="G9" s="32" t="n">
        <x:f>G4*G8</x:f>
        <x:v>11857.324510596865</x:v>
      </x:c>
      <x:c r="H9" s="32" t="n">
        <x:f>H4*H8</x:f>
        <x:v>12272.330868467754</x:v>
      </x:c>
      <x:c r="I9" s="32" t="n">
        <x:f>I4*I8</x:f>
        <x:v>12701.862448864125</x:v>
      </x:c>
      <x:c r="J9" s="32" t="n">
        <x:f>J4*J8</x:f>
        <x:v>13082.91832233005</x:v>
      </x:c>
      <x:c r="K9" s="32" t="n">
        <x:f>K4*K8</x:f>
        <x:v>13475.405871999952</x:v>
      </x:c>
      <x:c r="L9" s="32" t="n">
        <x:f>L4*L8</x:f>
        <x:v>13879.66804815995</x:v>
      </x:c>
    </x:row>
    <x:row r="10">
      <x:c r="A10" t="str">
        <x:v>EBIT</x:v>
      </x:c>
      <x:c r="B10" s="32" t="n">
        <x:f>B6-B9</x:f>
        <x:v>50609.985</x:v>
      </x:c>
      <x:c r="C10" s="32" t="n">
        <x:f>C6-C9</x:f>
        <x:v>53217.29634</x:v>
      </x:c>
      <x:c r="D10" s="32" t="n">
        <x:f>D6-D9</x:f>
        <x:v>55516.5564511</x:v>
      </x:c>
      <x:c r="E10" s="32" t="n">
        <x:f>E6-E9</x:f>
        <x:v>58468.06957888</x:v>
      </x:c>
      <x:c r="F10" s="32" t="n">
        <x:f>F6-F9</x:f>
        <x:v>60806.7923620352</x:v>
      </x:c>
      <x:c r="G10" s="32" t="n">
        <x:f>G6-G9</x:f>
        <x:v>63239.06405651661</x:v>
      </x:c>
      <x:c r="H10" s="32" t="n">
        <x:f>H6-H9</x:f>
        <x:v>64634.275907263516</x:v>
      </x:c>
      <x:c r="I10" s="32" t="n">
        <x:f>I6-I9</x:f>
        <x:v>66049.68473409346</x:v>
      </x:c>
      <x:c r="J10" s="32" t="n">
        <x:f>J6-J9</x:f>
        <x:v>67158.98072129425</x:v>
      </x:c>
      <x:c r="K10" s="32" t="n">
        <x:f>K6-K9</x:f>
        <x:v>68275.38975146643</x:v>
      </x:c>
      <x:c r="L10" s="32" t="n">
        <x:f>L6-L9</x:f>
        <x:v>69398.34024079975</x:v>
      </x:c>
    </x:row>
    <x:row r="11">
      <x:c r="A11" t="str">
        <x:v>Cash tax rate</x:v>
      </x:c>
      <x:c r="B11" s="44" t="n">
        <x:f>'Global Inputs'!$B$10</x:f>
        <x:v>0.25</x:v>
      </x:c>
      <x:c r="C11" s="44" t="n">
        <x:f>'Global Inputs'!$B$10</x:f>
        <x:v>0.25</x:v>
      </x:c>
      <x:c r="D11" s="44" t="n">
        <x:f>'Global Inputs'!$B$10</x:f>
        <x:v>0.25</x:v>
      </x:c>
      <x:c r="E11" s="44" t="n">
        <x:f>'Global Inputs'!$B$10</x:f>
        <x:v>0.25</x:v>
      </x:c>
      <x:c r="F11" s="44" t="n">
        <x:f>'Global Inputs'!$B$10</x:f>
        <x:v>0.25</x:v>
      </x:c>
      <x:c r="G11" s="44" t="n">
        <x:f>'Global Inputs'!$B$10</x:f>
        <x:v>0.25</x:v>
      </x:c>
      <x:c r="H11" s="44" t="n">
        <x:f>'Global Inputs'!$B$10</x:f>
        <x:v>0.25</x:v>
      </x:c>
      <x:c r="I11" s="44" t="n">
        <x:f>'Global Inputs'!$B$10</x:f>
        <x:v>0.25</x:v>
      </x:c>
      <x:c r="J11" s="44" t="n">
        <x:f>'Global Inputs'!$B$10</x:f>
        <x:v>0.25</x:v>
      </x:c>
      <x:c r="K11" s="44" t="n">
        <x:f>'Global Inputs'!$B$10</x:f>
        <x:v>0.25</x:v>
      </x:c>
      <x:c r="L11" s="44" t="n">
        <x:f>'Global Inputs'!$B$10</x:f>
        <x:v>0.25</x:v>
      </x:c>
    </x:row>
    <x:row r="12">
      <x:c r="A12" t="str">
        <x:v>Cash taxes</x:v>
      </x:c>
      <x:c r="B12" s="32" t="n">
        <x:f>MAX(0,B10*B11)</x:f>
        <x:v>12652.49625</x:v>
      </x:c>
      <x:c r="C12" s="32" t="n">
        <x:f>MAX(0,C10*C11)</x:f>
        <x:v>13304.324085</x:v>
      </x:c>
      <x:c r="D12" s="32" t="n">
        <x:f>MAX(0,D10*D11)</x:f>
        <x:v>13879.139112775</x:v>
      </x:c>
      <x:c r="E12" s="32" t="n">
        <x:f>MAX(0,E10*E11)</x:f>
        <x:v>14617.01739472</x:v>
      </x:c>
      <x:c r="F12" s="32" t="n">
        <x:f>MAX(0,F10*F11)</x:f>
        <x:v>15201.6980905088</x:v>
      </x:c>
      <x:c r="G12" s="32" t="n">
        <x:f>MAX(0,G10*G11)</x:f>
        <x:v>15809.766014129153</x:v>
      </x:c>
      <x:c r="H12" s="32" t="n">
        <x:f>MAX(0,H10*H11)</x:f>
        <x:v>16158.568976815879</x:v>
      </x:c>
      <x:c r="I12" s="32" t="n">
        <x:f>MAX(0,I10*I11)</x:f>
        <x:v>16512.421183523365</x:v>
      </x:c>
      <x:c r="J12" s="32" t="n">
        <x:f>MAX(0,J10*J11)</x:f>
        <x:v>16789.745180323564</x:v>
      </x:c>
      <x:c r="K12" s="32" t="n">
        <x:f>MAX(0,K10*K11)</x:f>
        <x:v>17068.847437866607</x:v>
      </x:c>
      <x:c r="L12" s="32" t="n">
        <x:f>MAX(0,L10*L11)</x:f>
        <x:v>17349.585060199937</x:v>
      </x:c>
    </x:row>
    <x:row r="13">
      <x:c r="A13" t="str">
        <x:v>NOPAT</x:v>
      </x:c>
      <x:c r="B13" s="32" t="n">
        <x:f>B10-B12</x:f>
        <x:v>37957.488750000004</x:v>
      </x:c>
      <x:c r="C13" s="32" t="n">
        <x:f>C10-C12</x:f>
        <x:v>39912.972255</x:v>
      </x:c>
      <x:c r="D13" s="32" t="n">
        <x:f>D10-D12</x:f>
        <x:v>41637.417338325</x:v>
      </x:c>
      <x:c r="E13" s="32" t="n">
        <x:f>E10-E12</x:f>
        <x:v>43851.05218416</x:v>
      </x:c>
      <x:c r="F13" s="32" t="n">
        <x:f>F10-F12</x:f>
        <x:v>45605.0942715264</x:v>
      </x:c>
      <x:c r="G13" s="32" t="n">
        <x:f>G10-G12</x:f>
        <x:v>47429.298042387454</x:v>
      </x:c>
      <x:c r="H13" s="32" t="n">
        <x:f>H10-H12</x:f>
        <x:v>48475.70693044764</x:v>
      </x:c>
      <x:c r="I13" s="32" t="n">
        <x:f>I10-I12</x:f>
        <x:v>49537.2635505701</x:v>
      </x:c>
      <x:c r="J13" s="32" t="n">
        <x:f>J10-J12</x:f>
        <x:v>50369.235540970694</x:v>
      </x:c>
      <x:c r="K13" s="32" t="n">
        <x:f>K10-K12</x:f>
        <x:v>51206.54231359982</x:v>
      </x:c>
      <x:c r="L13" s="32" t="n">
        <x:f>L10-L12</x:f>
        <x:v>52048.75518059981</x:v>
      </x:c>
    </x:row>
    <x:row r="14">
      <x:c r="A14" t="str">
        <x:v>Capex % revenue</x:v>
      </x:c>
      <x:c r="B14" s="34" t="n">
        <x:v>0.045</x:v>
      </x:c>
      <x:c r="C14" s="22" t="n">
        <x:v>0.045</x:v>
      </x:c>
      <x:c r="D14" s="22" t="n">
        <x:v>0.044</x:v>
      </x:c>
      <x:c r="E14" s="22" t="n">
        <x:v>0.043</x:v>
      </x:c>
      <x:c r="F14" s="22" t="n">
        <x:v>0.042</x:v>
      </x:c>
      <x:c r="G14" s="22" t="n">
        <x:v>0.04</x:v>
      </x:c>
      <x:c r="H14" s="22" t="n">
        <x:v>0.04</x:v>
      </x:c>
      <x:c r="I14" s="22" t="n">
        <x:v>0.039</x:v>
      </x:c>
      <x:c r="J14" s="22" t="n">
        <x:v>0.038</x:v>
      </x:c>
      <x:c r="K14" s="22" t="n">
        <x:v>0.038</x:v>
      </x:c>
      <x:c r="L14" s="22" t="n">
        <x:v>0.037</x:v>
      </x:c>
    </x:row>
    <x:row r="15">
      <x:c r="A15" t="str">
        <x:v>Capex</x:v>
      </x:c>
      <x:c r="B15" s="32" t="n">
        <x:f>B4*B14</x:f>
        <x:v>29808.045</x:v>
      </x:c>
      <x:c r="C15" s="32" t="n">
        <x:f>C4*C14</x:f>
        <x:v>30702.28635</x:v>
      </x:c>
      <x:c r="D15" s="32" t="n">
        <x:f>D4*D14</x:f>
        <x:v>30920.6137196</x:v>
      </x:c>
      <x:c r="E15" s="32" t="n">
        <x:f>E4*E14</x:f>
        <x:v>31426.587398648</x:v>
      </x:c>
      <x:c r="F15" s="32" t="n">
        <x:f>F4*F14</x:f>
        <x:v>31923.565990068484</x:v>
      </x:c>
      <x:c r="G15" s="32" t="n">
        <x:f>G4*G14</x:f>
        <x:v>31619.53202825831</x:v>
      </x:c>
      <x:c r="H15" s="32" t="n">
        <x:f>H4*H14</x:f>
        <x:v>32726.215649247348</x:v>
      </x:c>
      <x:c r="I15" s="32" t="n">
        <x:f>I4*I14</x:f>
        <x:v>33024.842367046724</x:v>
      </x:c>
      <x:c r="J15" s="32" t="n">
        <x:f>J4*J14</x:f>
        <x:v>33143.39308323613</x:v>
      </x:c>
      <x:c r="K15" s="32" t="n">
        <x:f>K4*K14</x:f>
        <x:v>34137.694875733214</x:v>
      </x:c>
      <x:c r="L15" s="32" t="n">
        <x:f>L4*L14</x:f>
        <x:v>34236.514518794545</x:v>
      </x:c>
    </x:row>
    <x:row r="16">
      <x:c r="A16" t="str">
        <x:v>NWC % revenue</x:v>
      </x:c>
      <x:c r="B16" s="22" t="n">
        <x:v>0.03</x:v>
      </x:c>
      <x:c r="C16" s="22" t="n">
        <x:v>0.03</x:v>
      </x:c>
      <x:c r="D16" s="22" t="n">
        <x:v>0.03</x:v>
      </x:c>
      <x:c r="E16" s="22" t="n">
        <x:v>0.03</x:v>
      </x:c>
      <x:c r="F16" s="22" t="n">
        <x:v>0.03</x:v>
      </x:c>
      <x:c r="G16" s="22" t="n">
        <x:v>0.03</x:v>
      </x:c>
      <x:c r="H16" s="22" t="n">
        <x:v>0.03</x:v>
      </x:c>
      <x:c r="I16" s="22" t="n">
        <x:v>0.03</x:v>
      </x:c>
      <x:c r="J16" s="22" t="n">
        <x:v>0.03</x:v>
      </x:c>
      <x:c r="K16" s="22" t="n">
        <x:v>0.03</x:v>
      </x:c>
      <x:c r="L16" s="22" t="n">
        <x:v>0.03</x:v>
      </x:c>
    </x:row>
    <x:row r="17">
      <x:c r="A17" t="str">
        <x:v>Change in NWC</x:v>
      </x:c>
      <x:c r="B17" s="32" t="n">
        <x:v>0</x:v>
      </x:c>
      <x:c r="C17" s="32" t="n">
        <x:f>(C4-B4)*C16</x:f>
        <x:v>596.1609000000008</x:v>
      </x:c>
      <x:c r="D17" s="32" t="n">
        <x:f>(D4-C4)*D16</x:f>
        <x:v>614.0457270000013</x:v>
      </x:c>
      <x:c r="E17" s="32" t="n">
        <x:f>(E4-D4)*E16</x:f>
        <x:v>843.2894650800002</x:v>
      </x:c>
      <x:c r="F17" s="32" t="n">
        <x:f>(F4-E4)*F16</x:f>
        <x:v>877.0210436831997</x:v>
      </x:c>
      <x:c r="G17" s="32" t="n">
        <x:f>(G4-F4)*G16</x:f>
        <x:v>912.1018854305288</x:v>
      </x:c>
      <x:c r="H17" s="32" t="n">
        <x:f>(H4-G4)*H16</x:f>
        <x:v>830.012715741779</x:v>
      </x:c>
      <x:c r="I17" s="32" t="n">
        <x:f>(I4-H4)*I16</x:f>
        <x:v>859.0631607927417</x:v>
      </x:c>
      <x:c r="J17" s="32" t="n">
        <x:f>(J4-I4)*J16</x:f>
        <x:v>762.111746931849</x:v>
      </x:c>
      <x:c r="K17" s="32" t="n">
        <x:f>(K4-J4)*K16</x:f>
        <x:v>784.9750993398029</x:v>
      </x:c>
      <x:c r="L17" s="32" t="n">
        <x:f>(L4-K4)*L16</x:f>
        <x:v>808.5243523199985</x:v>
      </x:c>
    </x:row>
    <x:row r="18">
      <x:c r="A18" s="46" t="str">
        <x:v>FCFF</x:v>
      </x:c>
      <x:c r="B18" s="47" t="n">
        <x:f>B13+B9-B15-B17</x:f>
        <x:v>18085.458750000005</x:v>
      </x:c>
      <x:c r="C18" s="47" t="n">
        <x:f>C13+C9-C15-C17</x:f>
        <x:v>18848.620455000004</x:v>
      </x:c>
      <x:c r="D18" s="47" t="n">
        <x:f>D13+D9-D15-D17</x:f>
        <x:v>20643.876205225002</x:v>
      </x:c>
      <x:c r="E18" s="47" t="n">
        <x:f>E13+E9-E15-E17</x:f>
        <x:v>22543.938366472</x:v>
      </x:c>
      <x:c r="F18" s="47" t="n">
        <x:f>F13+F9-F15-F17</x:f>
        <x:v>24205.780805656323</x:v>
      </x:c>
      <x:c r="G18" s="47" t="n">
        <x:f>G13+G9-G15-G17</x:f>
        <x:v>26754.988639295483</x:v>
      </x:c>
      <x:c r="H18" s="47" t="n">
        <x:f>H13+H9-H15-H17</x:f>
        <x:v>27191.809433926268</x:v>
      </x:c>
      <x:c r="I18" s="47" t="n">
        <x:f>I13+I9-I15-I17</x:f>
        <x:v>28355.22047159476</x:v>
      </x:c>
      <x:c r="J18" s="47" t="n">
        <x:f>J13+J9-J15-J17</x:f>
        <x:v>29546.649033132766</x:v>
      </x:c>
      <x:c r="K18" s="47" t="n">
        <x:f>K13+K9-K15-K17</x:f>
        <x:v>29759.278210526754</x:v>
      </x:c>
      <x:c r="L18" s="47" t="n">
        <x:f>L13+L9-L15-L17</x:f>
        <x:v>30883.384357645213</x:v>
      </x:c>
    </x:row>
    <x:row r="19">
      <x:c r="A19" t="str">
        <x:v>Discount factor</x:v>
      </x:c>
      <x:c r="B19" s="36" t="n">
        <x:v>1</x:v>
      </x:c>
      <x:c r="C19" s="36" t="n">
        <x:f>1/(1+$B$23)^1</x:f>
        <x:v>0.9090909090909091</x:v>
      </x:c>
      <x:c r="D19" s="36" t="n">
        <x:f>1/(1+$B$23)^2</x:f>
        <x:v>0.8264462809917354</x:v>
      </x:c>
      <x:c r="E19" s="36" t="n">
        <x:f>1/(1+$B$23)^3</x:f>
        <x:v>0.7513148009015775</x:v>
      </x:c>
      <x:c r="F19" s="36" t="n">
        <x:f>1/(1+$B$23)^4</x:f>
        <x:v>0.6830134553650705</x:v>
      </x:c>
      <x:c r="G19" s="36" t="n">
        <x:f>1/(1+$B$23)^5</x:f>
        <x:v>0.6209213230591549</x:v>
      </x:c>
      <x:c r="H19" s="36" t="n">
        <x:f>1/(1+$B$23)^6</x:f>
        <x:v>0.5644739300537772</x:v>
      </x:c>
      <x:c r="I19" s="36" t="n">
        <x:f>1/(1+$B$23)^7</x:f>
        <x:v>0.5131581182307065</x:v>
      </x:c>
      <x:c r="J19" s="36" t="n">
        <x:f>1/(1+$B$23)^8</x:f>
        <x:v>0.46650738020973315</x:v>
      </x:c>
      <x:c r="K19" s="36" t="n">
        <x:f>1/(1+$B$23)^9</x:f>
        <x:v>0.42409761837248466</x:v>
      </x:c>
      <x:c r="L19" s="36" t="n">
        <x:f>1/(1+$B$23)^10</x:f>
        <x:v>0.3855432894295315</x:v>
      </x:c>
    </x:row>
    <x:row r="20">
      <x:c r="A20" s="46" t="str">
        <x:v>PV of FCFF</x:v>
      </x:c>
      <x:c r="B20" s="47"/>
      <x:c r="C20" s="47" t="n">
        <x:f>C18*C19</x:f>
        <x:v>17135.109504545457</x:v>
      </x:c>
      <x:c r="D20" s="47" t="n">
        <x:f>D18*D19</x:f>
        <x:v>17061.054715061982</x:v>
      </x:c>
      <x:c r="E20" s="47" t="n">
        <x:f>E18*E19</x:f>
        <x:v>16937.59456534335</x:v>
      </x:c>
      <x:c r="F20" s="47" t="n">
        <x:f>F18*F19</x:f>
        <x:v>16532.873987880826</x:v>
      </x:c>
      <x:c r="G20" s="47" t="n">
        <x:f>G18*G19</x:f>
        <x:v>16612.742944344012</x:v>
      </x:c>
      <x:c r="H20" s="47" t="n">
        <x:f>H18*H19</x:f>
        <x:v>15349.067536441735</x:v>
      </x:c>
      <x:c r="I20" s="47" t="n">
        <x:f>I18*I19</x:f>
        <x:v>14550.711579220371</x:v>
      </x:c>
      <x:c r="J20" s="47" t="n">
        <x:f>J18*J19</x:f>
        <x:v>13783.729834423211</x:v>
      </x:c>
      <x:c r="K20" s="47" t="n">
        <x:f>K18*K19</x:f>
        <x:v>12620.839013568573</x:v>
      </x:c>
      <x:c r="L20" s="47" t="n">
        <x:f>L18*L19</x:f>
        <x:v>11906.881593963073</x:v>
      </x:c>
    </x:row>
    <x:row r="22">
      <x:c r="A22" s="30" t="str">
        <x:v>DCF Valuation</x:v>
      </x:c>
    </x:row>
    <x:row r="23">
      <x:c r="A23" t="str">
        <x:v>WACC</x:v>
      </x:c>
      <x:c r="B23" s="22" t="n">
        <x:v>0.1</x:v>
      </x:c>
      <x:c r="D23" t="str">
        <x:v>RIL-attributable EV</x:v>
      </x:c>
      <x:c r="E23" s="32" t="n">
        <x:f>B29*B25</x:f>
        <x:v>342084.79680943536</x:v>
      </x:c>
      <x:c r="M23" t="str">
        <x:v>WACC / terminal growth are analyst assumptions.</x:v>
      </x:c>
    </x:row>
    <x:row r="24">
      <x:c r="A24" t="str">
        <x:v>Terminal growth</x:v>
      </x:c>
      <x:c r="B24" s="22" t="n">
        <x:v>0.035</x:v>
      </x:c>
      <x:c r="D24" t="str">
        <x:v>Terminal value / EV</x:v>
      </x:c>
      <x:c r="E24" s="34" t="n">
        <x:f>B28/B29</x:f>
        <x:v>0.5542315627673442</x:v>
      </x:c>
    </x:row>
    <x:row r="25">
      <x:c r="A25" t="str">
        <x:v>Ownership attributable to RIL</x:v>
      </x:c>
      <x:c r="B25" s="22" t="n">
        <x:v>1</x:v>
      </x:c>
      <x:c r="D25" t="str">
        <x:v>FY36 EV / EBITDA</x:v>
      </x:c>
      <x:c r="E25" s="38" t="n">
        <x:f>B29/L6</x:f>
        <x:v>4.107744695603943</x:v>
      </x:c>
    </x:row>
    <x:row r="26">
      <x:c r="A26" t="str">
        <x:v>PV of forecast FCFF</x:v>
      </x:c>
      <x:c r="B26" s="32" t="n">
        <x:f>SUM(C20:L20)</x:f>
        <x:v>152490.6052747926</x:v>
      </x:c>
    </x:row>
    <x:row r="27">
      <x:c r="A27" t="str">
        <x:v>Terminal value</x:v>
      </x:c>
      <x:c r="B27" s="32" t="n">
        <x:f>L18*(1+B24)/(B23-B24)</x:f>
        <x:v>491758.5047717353</x:v>
      </x:c>
    </x:row>
    <x:row r="28">
      <x:c r="A28" t="str">
        <x:v>PV of terminal value</x:v>
      </x:c>
      <x:c r="B28" s="32" t="n">
        <x:f>B27*L19</x:f>
        <x:v>189594.19153464277</x:v>
      </x:c>
    </x:row>
    <x:row r="29">
      <x:c r="A29" s="46" t="str">
        <x:v>Enterprise value</x:v>
      </x:c>
      <x:c r="B29" s="47" t="n">
        <x:f>B26+B28</x:f>
        <x:v>342084.79680943536</x:v>
      </x:c>
    </x:row>
  </x:sheetData>
  <x:mergeCells>
    <x:mergeCell ref="A1:M1"/>
    <x:mergeCell ref="A22:F2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38" hidden="0" customWidth="1"/>
  </x:cols>
  <x:sheetData>
    <x:row r="1" ht="24" customHeight="1">
      <x:c r="A1" s="8" t="str">
        <x:v>Oil &amp; Gas — 10-Year FCFF DCF</x:v>
      </x:c>
    </x:row>
    <x:row r="3">
      <x:c r="A3" s="14" t="str">
        <x:v>₹ crore unless stated</x:v>
      </x:c>
      <x:c r="B3" s="14" t="str">
        <x:v>FY26A</x:v>
      </x:c>
      <x:c r="C3" s="14" t="str">
        <x:v>FY27E</x:v>
      </x:c>
      <x:c r="D3" s="14" t="str">
        <x:v>FY28E</x:v>
      </x:c>
      <x:c r="E3" s="14" t="str">
        <x:v>FY29E</x:v>
      </x:c>
      <x:c r="F3" s="14" t="str">
        <x:v>FY30E</x:v>
      </x:c>
      <x:c r="G3" s="14" t="str">
        <x:v>FY31E</x:v>
      </x:c>
      <x:c r="H3" s="14" t="str">
        <x:v>FY32E</x:v>
      </x:c>
      <x:c r="I3" s="14" t="str">
        <x:v>FY33E</x:v>
      </x:c>
      <x:c r="J3" s="14" t="str">
        <x:v>FY34E</x:v>
      </x:c>
      <x:c r="K3" s="14" t="str">
        <x:v>FY35E</x:v>
      </x:c>
      <x:c r="L3" s="14" t="str">
        <x:v>FY36E</x:v>
      </x:c>
      <x:c r="M3" s="14" t="str">
        <x:v>Source / note</x:v>
      </x:c>
    </x:row>
    <x:row r="4">
      <x:c r="A4" t="str">
        <x:v>Revenue</x:v>
      </x:c>
      <x:c r="B4" s="40" t="n">
        <x:v>23861</x:v>
      </x:c>
      <x:c r="C4" s="32" t="n">
        <x:f>B4*(1+C5)</x:f>
        <x:v>23145.17</x:v>
      </x:c>
      <x:c r="D4" s="32" t="n">
        <x:f>C4*(1+D5)</x:f>
        <x:v>22682.2666</x:v>
      </x:c>
      <x:c r="E4" s="32" t="n">
        <x:f>D4*(1+E5)</x:f>
        <x:v>22682.2666</x:v>
      </x:c>
      <x:c r="F4" s="32" t="n">
        <x:f>E4*(1+F5)</x:f>
        <x:v>23135.911932</x:v>
      </x:c>
      <x:c r="G4" s="32" t="n">
        <x:f>F4*(1+G5)</x:f>
        <x:v>23598.63017064</x:v>
      </x:c>
      <x:c r="H4" s="32" t="n">
        <x:f>G4*(1+H5)</x:f>
        <x:v>23834.616472346403</x:v>
      </x:c>
      <x:c r="I4" s="32" t="n">
        <x:f>H4*(1+I5)</x:f>
        <x:v>23834.616472346403</x:v>
      </x:c>
      <x:c r="J4" s="32" t="n">
        <x:f>I4*(1+J5)</x:f>
        <x:v>23596.270307622937</x:v>
      </x:c>
      <x:c r="K4" s="32" t="n">
        <x:f>J4*(1+K5)</x:f>
        <x:v>23124.34490147048</x:v>
      </x:c>
      <x:c r="L4" s="32" t="n">
        <x:f>K4*(1+L5)</x:f>
        <x:v>22661.85800344107</x:v>
      </x:c>
      <x:c r="M4" t="str">
        <x:v>https://www.ril.com/ar2025-26/financial-performance-and-review.html</x:v>
      </x:c>
    </x:row>
    <x:row r="5">
      <x:c r="A5" t="str">
        <x:v>Growth</x:v>
      </x:c>
      <x:c r="B5" s="41"/>
      <x:c r="C5" s="22" t="n">
        <x:v>-0.03</x:v>
      </x:c>
      <x:c r="D5" s="22" t="n">
        <x:v>-0.02</x:v>
      </x:c>
      <x:c r="E5" s="22" t="n">
        <x:v>0</x:v>
      </x:c>
      <x:c r="F5" s="22" t="n">
        <x:v>0.02</x:v>
      </x:c>
      <x:c r="G5" s="22" t="n">
        <x:v>0.02</x:v>
      </x:c>
      <x:c r="H5" s="22" t="n">
        <x:v>0.01</x:v>
      </x:c>
      <x:c r="I5" s="22" t="n">
        <x:v>0</x:v>
      </x:c>
      <x:c r="J5" s="22" t="n">
        <x:v>-0.01</x:v>
      </x:c>
      <x:c r="K5" s="22" t="n">
        <x:v>-0.02</x:v>
      </x:c>
      <x:c r="L5" s="22" t="n">
        <x:v>-0.02</x:v>
      </x:c>
      <x:c r="M5" t="str">
        <x:v>Blue cells = analyst inputs; black = formulas; green = same-workbook links.</x:v>
      </x:c>
    </x:row>
    <x:row r="6">
      <x:c r="A6" t="str">
        <x:v>EBITDA margin</x:v>
      </x:c>
      <x:c r="B6" s="40" t="n">
        <x:v>19050</x:v>
      </x:c>
      <x:c r="C6" s="32" t="n">
        <x:f>C4*C7</x:f>
        <x:v>18053.2326</x:v>
      </x:c>
      <x:c r="D6" s="32" t="n">
        <x:f>D4*D7</x:f>
        <x:v>17465.345282</x:v>
      </x:c>
      <x:c r="E6" s="32" t="n">
        <x:f>E4*E7</x:f>
        <x:v>17238.522616</x:v>
      </x:c>
      <x:c r="F6" s="32" t="n">
        <x:f>F4*F7</x:f>
        <x:v>17351.933949</x:v>
      </x:c>
      <x:c r="G6" s="32" t="n">
        <x:f>G4*G7</x:f>
        <x:v>17462.9863262736</x:v>
      </x:c>
      <x:c r="H6" s="32" t="n">
        <x:f>H4*H7</x:f>
        <x:v>17399.270024812875</x:v>
      </x:c>
      <x:c r="I6" s="32" t="n">
        <x:f>I4*I7</x:f>
        <x:v>17160.92386008941</x:v>
      </x:c>
      <x:c r="J6" s="32" t="n">
        <x:f>J4*J7</x:f>
        <x:v>16517.389215336054</x:v>
      </x:c>
      <x:c r="K6" s="32" t="n">
        <x:f>K4*K7</x:f>
        <x:v>15724.554532999926</x:v>
      </x:c>
      <x:c r="L6" s="32" t="n">
        <x:f>L4*L7</x:f>
        <x:v>14956.826282271108</x:v>
      </x:c>
    </x:row>
    <x:row r="7">
      <x:c r="A7" t="str">
        <x:v>EBITDA</x:v>
      </x:c>
      <x:c r="B7" s="34" t="n">
        <x:f>IFERROR(B6/B4,0)</x:f>
        <x:v>0.7983739155944847</x:v>
      </x:c>
      <x:c r="C7" s="22" t="n">
        <x:v>0.78</x:v>
      </x:c>
      <x:c r="D7" s="22" t="n">
        <x:v>0.77</x:v>
      </x:c>
      <x:c r="E7" s="22" t="n">
        <x:v>0.76</x:v>
      </x:c>
      <x:c r="F7" s="22" t="n">
        <x:v>0.75</x:v>
      </x:c>
      <x:c r="G7" s="22" t="n">
        <x:v>0.74</x:v>
      </x:c>
      <x:c r="H7" s="22" t="n">
        <x:v>0.73</x:v>
      </x:c>
      <x:c r="I7" s="22" t="n">
        <x:v>0.72</x:v>
      </x:c>
      <x:c r="J7" s="22" t="n">
        <x:v>0.7</x:v>
      </x:c>
      <x:c r="K7" s="22" t="n">
        <x:v>0.68</x:v>
      </x:c>
      <x:c r="L7" s="22" t="n">
        <x:v>0.66</x:v>
      </x:c>
    </x:row>
    <x:row r="8">
      <x:c r="A8" t="str">
        <x:v>D&amp;A % revenue</x:v>
      </x:c>
      <x:c r="B8" s="34" t="n">
        <x:v>0.234</x:v>
      </x:c>
      <x:c r="C8" s="22" t="n">
        <x:v>0.234</x:v>
      </x:c>
      <x:c r="D8" s="22" t="n">
        <x:v>0.234</x:v>
      </x:c>
      <x:c r="E8" s="22" t="n">
        <x:v>0.234</x:v>
      </x:c>
      <x:c r="F8" s="22" t="n">
        <x:v>0.234</x:v>
      </x:c>
      <x:c r="G8" s="22" t="n">
        <x:v>0.234</x:v>
      </x:c>
      <x:c r="H8" s="22" t="n">
        <x:v>0.234</x:v>
      </x:c>
      <x:c r="I8" s="22" t="n">
        <x:v>0.234</x:v>
      </x:c>
      <x:c r="J8" s="22" t="n">
        <x:v>0.234</x:v>
      </x:c>
      <x:c r="K8" s="22" t="n">
        <x:v>0.234</x:v>
      </x:c>
      <x:c r="L8" s="22" t="n">
        <x:v>0.234</x:v>
      </x:c>
    </x:row>
    <x:row r="9">
      <x:c r="A9" t="str">
        <x:v>D&amp;A</x:v>
      </x:c>
      <x:c r="B9" s="32" t="n">
        <x:f>B4*B8</x:f>
        <x:v>5583.474</x:v>
      </x:c>
      <x:c r="C9" s="32" t="n">
        <x:f>C4*C8</x:f>
        <x:v>5415.96978</x:v>
      </x:c>
      <x:c r="D9" s="32" t="n">
        <x:f>D4*D8</x:f>
        <x:v>5307.6503844</x:v>
      </x:c>
      <x:c r="E9" s="32" t="n">
        <x:f>E4*E8</x:f>
        <x:v>5307.6503844</x:v>
      </x:c>
      <x:c r="F9" s="32" t="n">
        <x:f>F4*F8</x:f>
        <x:v>5413.803392088</x:v>
      </x:c>
      <x:c r="G9" s="32" t="n">
        <x:f>G4*G8</x:f>
        <x:v>5522.079459929761</x:v>
      </x:c>
      <x:c r="H9" s="32" t="n">
        <x:f>H4*H8</x:f>
        <x:v>5577.300254529058</x:v>
      </x:c>
      <x:c r="I9" s="32" t="n">
        <x:f>I4*I8</x:f>
        <x:v>5577.300254529058</x:v>
      </x:c>
      <x:c r="J9" s="32" t="n">
        <x:f>J4*J8</x:f>
        <x:v>5521.527251983767</x:v>
      </x:c>
      <x:c r="K9" s="32" t="n">
        <x:f>K4*K8</x:f>
        <x:v>5411.096706944092</x:v>
      </x:c>
      <x:c r="L9" s="32" t="n">
        <x:f>L4*L8</x:f>
        <x:v>5302.87477280521</x:v>
      </x:c>
    </x:row>
    <x:row r="10">
      <x:c r="A10" t="str">
        <x:v>EBIT</x:v>
      </x:c>
      <x:c r="B10" s="32" t="n">
        <x:f>B6-B9</x:f>
        <x:v>13466.526</x:v>
      </x:c>
      <x:c r="C10" s="32" t="n">
        <x:f>C6-C9</x:f>
        <x:v>12637.26282</x:v>
      </x:c>
      <x:c r="D10" s="32" t="n">
        <x:f>D6-D9</x:f>
        <x:v>12157.694897599999</x:v>
      </x:c>
      <x:c r="E10" s="32" t="n">
        <x:f>E6-E9</x:f>
        <x:v>11930.872231599998</x:v>
      </x:c>
      <x:c r="F10" s="32" t="n">
        <x:f>F6-F9</x:f>
        <x:v>11938.130556911998</x:v>
      </x:c>
      <x:c r="G10" s="32" t="n">
        <x:f>G6-G9</x:f>
        <x:v>11940.90686634384</x:v>
      </x:c>
      <x:c r="H10" s="32" t="n">
        <x:f>H6-H9</x:f>
        <x:v>11821.969770283817</x:v>
      </x:c>
      <x:c r="I10" s="32" t="n">
        <x:f>I6-I9</x:f>
        <x:v>11583.623605560351</x:v>
      </x:c>
      <x:c r="J10" s="32" t="n">
        <x:f>J6-J9</x:f>
        <x:v>10995.861963352287</x:v>
      </x:c>
      <x:c r="K10" s="32" t="n">
        <x:f>K6-K9</x:f>
        <x:v>10313.457826055834</x:v>
      </x:c>
      <x:c r="L10" s="32" t="n">
        <x:f>L6-L9</x:f>
        <x:v>9653.951509465896</x:v>
      </x:c>
    </x:row>
    <x:row r="11">
      <x:c r="A11" t="str">
        <x:v>Cash tax rate</x:v>
      </x:c>
      <x:c r="B11" s="44" t="n">
        <x:f>'Global Inputs'!$B$10</x:f>
        <x:v>0.25</x:v>
      </x:c>
      <x:c r="C11" s="44" t="n">
        <x:f>'Global Inputs'!$B$10</x:f>
        <x:v>0.25</x:v>
      </x:c>
      <x:c r="D11" s="44" t="n">
        <x:f>'Global Inputs'!$B$10</x:f>
        <x:v>0.25</x:v>
      </x:c>
      <x:c r="E11" s="44" t="n">
        <x:f>'Global Inputs'!$B$10</x:f>
        <x:v>0.25</x:v>
      </x:c>
      <x:c r="F11" s="44" t="n">
        <x:f>'Global Inputs'!$B$10</x:f>
        <x:v>0.25</x:v>
      </x:c>
      <x:c r="G11" s="44" t="n">
        <x:f>'Global Inputs'!$B$10</x:f>
        <x:v>0.25</x:v>
      </x:c>
      <x:c r="H11" s="44" t="n">
        <x:f>'Global Inputs'!$B$10</x:f>
        <x:v>0.25</x:v>
      </x:c>
      <x:c r="I11" s="44" t="n">
        <x:f>'Global Inputs'!$B$10</x:f>
        <x:v>0.25</x:v>
      </x:c>
      <x:c r="J11" s="44" t="n">
        <x:f>'Global Inputs'!$B$10</x:f>
        <x:v>0.25</x:v>
      </x:c>
      <x:c r="K11" s="44" t="n">
        <x:f>'Global Inputs'!$B$10</x:f>
        <x:v>0.25</x:v>
      </x:c>
      <x:c r="L11" s="44" t="n">
        <x:f>'Global Inputs'!$B$10</x:f>
        <x:v>0.25</x:v>
      </x:c>
    </x:row>
    <x:row r="12">
      <x:c r="A12" t="str">
        <x:v>Cash taxes</x:v>
      </x:c>
      <x:c r="B12" s="32" t="n">
        <x:f>MAX(0,B10*B11)</x:f>
        <x:v>3366.6315</x:v>
      </x:c>
      <x:c r="C12" s="32" t="n">
        <x:f>MAX(0,C10*C11)</x:f>
        <x:v>3159.315705</x:v>
      </x:c>
      <x:c r="D12" s="32" t="n">
        <x:f>MAX(0,D10*D11)</x:f>
        <x:v>3039.4237243999996</x:v>
      </x:c>
      <x:c r="E12" s="32" t="n">
        <x:f>MAX(0,E10*E11)</x:f>
        <x:v>2982.7180578999996</x:v>
      </x:c>
      <x:c r="F12" s="32" t="n">
        <x:f>MAX(0,F10*F11)</x:f>
        <x:v>2984.5326392279994</x:v>
      </x:c>
      <x:c r="G12" s="32" t="n">
        <x:f>MAX(0,G10*G11)</x:f>
        <x:v>2985.22671658596</x:v>
      </x:c>
      <x:c r="H12" s="32" t="n">
        <x:f>MAX(0,H10*H11)</x:f>
        <x:v>2955.492442570954</x:v>
      </x:c>
      <x:c r="I12" s="32" t="n">
        <x:f>MAX(0,I10*I11)</x:f>
        <x:v>2895.905901390088</x:v>
      </x:c>
      <x:c r="J12" s="32" t="n">
        <x:f>MAX(0,J10*J11)</x:f>
        <x:v>2748.9654908380717</x:v>
      </x:c>
      <x:c r="K12" s="32" t="n">
        <x:f>MAX(0,K10*K11)</x:f>
        <x:v>2578.3644565139584</x:v>
      </x:c>
      <x:c r="L12" s="32" t="n">
        <x:f>MAX(0,L10*L11)</x:f>
        <x:v>2413.487877366474</x:v>
      </x:c>
    </x:row>
    <x:row r="13">
      <x:c r="A13" t="str">
        <x:v>NOPAT</x:v>
      </x:c>
      <x:c r="B13" s="32" t="n">
        <x:f>B10-B12</x:f>
        <x:v>10099.8945</x:v>
      </x:c>
      <x:c r="C13" s="32" t="n">
        <x:f>C10-C12</x:f>
        <x:v>9477.947114999999</x:v>
      </x:c>
      <x:c r="D13" s="32" t="n">
        <x:f>D10-D12</x:f>
        <x:v>9118.271173199999</x:v>
      </x:c>
      <x:c r="E13" s="32" t="n">
        <x:f>E10-E12</x:f>
        <x:v>8948.154173699999</x:v>
      </x:c>
      <x:c r="F13" s="32" t="n">
        <x:f>F10-F12</x:f>
        <x:v>8953.597917683997</x:v>
      </x:c>
      <x:c r="G13" s="32" t="n">
        <x:f>G10-G12</x:f>
        <x:v>8955.68014975788</x:v>
      </x:c>
      <x:c r="H13" s="32" t="n">
        <x:f>H10-H12</x:f>
        <x:v>8866.477327712862</x:v>
      </x:c>
      <x:c r="I13" s="32" t="n">
        <x:f>I10-I12</x:f>
        <x:v>8687.717704170263</x:v>
      </x:c>
      <x:c r="J13" s="32" t="n">
        <x:f>J10-J12</x:f>
        <x:v>8246.896472514214</x:v>
      </x:c>
      <x:c r="K13" s="32" t="n">
        <x:f>K10-K12</x:f>
        <x:v>7735.093369541875</x:v>
      </x:c>
      <x:c r="L13" s="32" t="n">
        <x:f>L10-L12</x:f>
        <x:v>7240.463632099422</x:v>
      </x:c>
    </x:row>
    <x:row r="14">
      <x:c r="A14" t="str">
        <x:v>Capex % revenue</x:v>
      </x:c>
      <x:c r="B14" s="34" t="n">
        <x:v>0.08</x:v>
      </x:c>
      <x:c r="C14" s="22" t="n">
        <x:v>0.08</x:v>
      </x:c>
      <x:c r="D14" s="22" t="n">
        <x:v>0.08</x:v>
      </x:c>
      <x:c r="E14" s="22" t="n">
        <x:v>0.08</x:v>
      </x:c>
      <x:c r="F14" s="22" t="n">
        <x:v>0.08</x:v>
      </x:c>
      <x:c r="G14" s="22" t="n">
        <x:v>0.08</x:v>
      </x:c>
      <x:c r="H14" s="22" t="n">
        <x:v>0.08</x:v>
      </x:c>
      <x:c r="I14" s="22" t="n">
        <x:v>0.08</x:v>
      </x:c>
      <x:c r="J14" s="22" t="n">
        <x:v>0.08</x:v>
      </x:c>
      <x:c r="K14" s="22" t="n">
        <x:v>0.08</x:v>
      </x:c>
      <x:c r="L14" s="22" t="n">
        <x:v>0.08</x:v>
      </x:c>
    </x:row>
    <x:row r="15">
      <x:c r="A15" t="str">
        <x:v>Capex</x:v>
      </x:c>
      <x:c r="B15" s="32" t="n">
        <x:f>B4*B14</x:f>
        <x:v>1908.88</x:v>
      </x:c>
      <x:c r="C15" s="32" t="n">
        <x:f>C4*C14</x:f>
        <x:v>1851.6136</x:v>
      </x:c>
      <x:c r="D15" s="32" t="n">
        <x:f>D4*D14</x:f>
        <x:v>1814.581328</x:v>
      </x:c>
      <x:c r="E15" s="32" t="n">
        <x:f>E4*E14</x:f>
        <x:v>1814.581328</x:v>
      </x:c>
      <x:c r="F15" s="32" t="n">
        <x:f>F4*F14</x:f>
        <x:v>1850.87295456</x:v>
      </x:c>
      <x:c r="G15" s="32" t="n">
        <x:f>G4*G14</x:f>
        <x:v>1887.8904136512</x:v>
      </x:c>
      <x:c r="H15" s="32" t="n">
        <x:f>H4*H14</x:f>
        <x:v>1906.7693177877122</x:v>
      </x:c>
      <x:c r="I15" s="32" t="n">
        <x:f>I4*I14</x:f>
        <x:v>1906.7693177877122</x:v>
      </x:c>
      <x:c r="J15" s="32" t="n">
        <x:f>J4*J14</x:f>
        <x:v>1887.701624609835</x:v>
      </x:c>
      <x:c r="K15" s="32" t="n">
        <x:f>K4*K14</x:f>
        <x:v>1849.9475921176384</x:v>
      </x:c>
      <x:c r="L15" s="32" t="n">
        <x:f>L4*L14</x:f>
        <x:v>1812.9486402752857</x:v>
      </x:c>
    </x:row>
    <x:row r="16">
      <x:c r="A16" t="str">
        <x:v>NWC % revenue</x:v>
      </x:c>
      <x:c r="B16" s="22" t="n">
        <x:v>0.02</x:v>
      </x:c>
      <x:c r="C16" s="22" t="n">
        <x:v>0.02</x:v>
      </x:c>
      <x:c r="D16" s="22" t="n">
        <x:v>0.02</x:v>
      </x:c>
      <x:c r="E16" s="22" t="n">
        <x:v>0.02</x:v>
      </x:c>
      <x:c r="F16" s="22" t="n">
        <x:v>0.02</x:v>
      </x:c>
      <x:c r="G16" s="22" t="n">
        <x:v>0.02</x:v>
      </x:c>
      <x:c r="H16" s="22" t="n">
        <x:v>0.02</x:v>
      </x:c>
      <x:c r="I16" s="22" t="n">
        <x:v>0.02</x:v>
      </x:c>
      <x:c r="J16" s="22" t="n">
        <x:v>0.02</x:v>
      </x:c>
      <x:c r="K16" s="22" t="n">
        <x:v>0.02</x:v>
      </x:c>
      <x:c r="L16" s="22" t="n">
        <x:v>0.02</x:v>
      </x:c>
    </x:row>
    <x:row r="17">
      <x:c r="A17" t="str">
        <x:v>Change in NWC</x:v>
      </x:c>
      <x:c r="B17" s="32" t="n">
        <x:v>0</x:v>
      </x:c>
      <x:c r="C17" s="32" t="n">
        <x:f>(C4-B4)*C16</x:f>
        <x:v>-14.316600000000035</x:v>
      </x:c>
      <x:c r="D17" s="32" t="n">
        <x:f>(D4-C4)*D16</x:f>
        <x:v>-9.258067999999986</x:v>
      </x:c>
      <x:c r="E17" s="32" t="n">
        <x:f>(E4-D4)*E16</x:f>
        <x:v>0</x:v>
      </x:c>
      <x:c r="F17" s="32" t="n">
        <x:f>(F4-E4)*F16</x:f>
        <x:v>9.072906640000001</x:v>
      </x:c>
      <x:c r="G17" s="32" t="n">
        <x:f>(G4-F4)*G16</x:f>
        <x:v>9.254364772800036</x:v>
      </x:c>
      <x:c r="H17" s="32" t="n">
        <x:f>(H4-G4)*H16</x:f>
        <x:v>4.719726034128034</x:v>
      </x:c>
      <x:c r="I17" s="32" t="n">
        <x:f>(I4-H4)*I16</x:f>
        <x:v>0</x:v>
      </x:c>
      <x:c r="J17" s="32" t="n">
        <x:f>(J4-I4)*J16</x:f>
        <x:v>-4.766923294469307</x:v>
      </x:c>
      <x:c r="K17" s="32" t="n">
        <x:f>(K4-J4)*K16</x:f>
        <x:v>-9.438508123049179</x:v>
      </x:c>
      <x:c r="L17" s="32" t="n">
        <x:f>(L4-K4)*L16</x:f>
        <x:v>-9.249737960588172</x:v>
      </x:c>
    </x:row>
    <x:row r="18">
      <x:c r="A18" s="46" t="str">
        <x:v>FCFF</x:v>
      </x:c>
      <x:c r="B18" s="47" t="n">
        <x:f>B13+B9-B15-B17</x:f>
        <x:v>13774.4885</x:v>
      </x:c>
      <x:c r="C18" s="47" t="n">
        <x:f>C13+C9-C15-C17</x:f>
        <x:v>13056.619894999998</x:v>
      </x:c>
      <x:c r="D18" s="47" t="n">
        <x:f>D13+D9-D15-D17</x:f>
        <x:v>12620.598297599998</x:v>
      </x:c>
      <x:c r="E18" s="47" t="n">
        <x:f>E13+E9-E15-E17</x:f>
        <x:v>12441.223230099999</x:v>
      </x:c>
      <x:c r="F18" s="47" t="n">
        <x:f>F13+F9-F15-F17</x:f>
        <x:v>12507.455448571998</x:v>
      </x:c>
      <x:c r="G18" s="47" t="n">
        <x:f>G13+G9-G15-G17</x:f>
        <x:v>12580.614831263641</x:v>
      </x:c>
      <x:c r="H18" s="47" t="n">
        <x:f>H13+H9-H15-H17</x:f>
        <x:v>12532.288538420082</x:v>
      </x:c>
      <x:c r="I18" s="47" t="n">
        <x:f>I13+I9-I15-I17</x:f>
        <x:v>12358.24864091161</x:v>
      </x:c>
      <x:c r="J18" s="47" t="n">
        <x:f>J13+J9-J15-J17</x:f>
        <x:v>11885.489023182616</x:v>
      </x:c>
      <x:c r="K18" s="47" t="n">
        <x:f>K13+K9-K15-K17</x:f>
        <x:v>11305.680992491378</x:v>
      </x:c>
      <x:c r="L18" s="47" t="n">
        <x:f>L13+L9-L15-L17</x:f>
        <x:v>10739.639502589935</x:v>
      </x:c>
    </x:row>
    <x:row r="19">
      <x:c r="A19" t="str">
        <x:v>Discount factor</x:v>
      </x:c>
      <x:c r="B19" s="36" t="n">
        <x:v>1</x:v>
      </x:c>
      <x:c r="C19" s="36" t="n">
        <x:f>1/(1+$B$23)^1</x:f>
        <x:v>0.9049773755656109</x:v>
      </x:c>
      <x:c r="D19" s="36" t="n">
        <x:f>1/(1+$B$23)^2</x:f>
        <x:v>0.8189840502856207</x:v>
      </x:c>
      <x:c r="E19" s="36" t="n">
        <x:f>1/(1+$B$23)^3</x:f>
        <x:v>0.7411620364575753</x:v>
      </x:c>
      <x:c r="F19" s="36" t="n">
        <x:f>1/(1+$B$23)^4</x:f>
        <x:v>0.67073487462224</x:v>
      </x:c>
      <x:c r="G19" s="36" t="n">
        <x:f>1/(1+$B$23)^5</x:f>
        <x:v>0.6069998865359638</x:v>
      </x:c>
      <x:c r="H19" s="36" t="n">
        <x:f>1/(1+$B$23)^6</x:f>
        <x:v>0.54932116428594</x:v>
      </x:c>
      <x:c r="I19" s="36" t="n">
        <x:f>1/(1+$B$23)^7</x:f>
        <x:v>0.4971232255981358</x:v>
      </x:c>
      <x:c r="J19" s="36" t="n">
        <x:f>1/(1+$B$23)^8</x:f>
        <x:v>0.44988527203451206</x:v>
      </x:c>
      <x:c r="K19" s="36" t="n">
        <x:f>1/(1+$B$23)^9</x:f>
        <x:v>0.40713599279141366</x:v>
      </x:c>
      <x:c r="L19" s="36" t="n">
        <x:f>1/(1+$B$23)^10</x:f>
        <x:v>0.36844886225467294</x:v>
      </x:c>
    </x:row>
    <x:row r="20">
      <x:c r="A20" s="46" t="str">
        <x:v>PV of FCFF</x:v>
      </x:c>
      <x:c r="B20" s="47"/>
      <x:c r="C20" s="47" t="n">
        <x:f>C18*C19</x:f>
        <x:v>11815.94560633484</x:v>
      </x:c>
      <x:c r="D20" s="47" t="n">
        <x:f>D18*D19</x:f>
        <x:v>10336.068710796255</x:v>
      </x:c>
      <x:c r="E20" s="47" t="n">
        <x:f>E18*E19</x:f>
        <x:v>9220.962345244208</x:v>
      </x:c>
      <x:c r="F20" s="47" t="n">
        <x:f>F18*F19</x:f>
        <x:v>8389.186562141193</x:v>
      </x:c>
      <x:c r="G20" s="47" t="n">
        <x:f>G18*G19</x:f>
        <x:v>7636.431775129694</x:v>
      </x:c>
      <x:c r="H20" s="47" t="n">
        <x:f>H18*H19</x:f>
        <x:v>6884.25133109226</x:v>
      </x:c>
      <x:c r="I20" s="47" t="n">
        <x:f>I18*I19</x:f>
        <x:v>6143.572427113758</x:v>
      </x:c>
      <x:c r="J20" s="47" t="n">
        <x:f>J18*J19</x:f>
        <x:v>5347.106462457718</x:v>
      </x:c>
      <x:c r="K20" s="47" t="n">
        <x:f>K18*K19</x:f>
        <x:v>4602.949655060992</x:v>
      </x:c>
      <x:c r="L20" s="47" t="n">
        <x:f>L18*L19</x:f>
        <x:v>3957.007955754603</x:v>
      </x:c>
    </x:row>
    <x:row r="22">
      <x:c r="A22" s="30" t="str">
        <x:v>DCF Valuation</x:v>
      </x:c>
    </x:row>
    <x:row r="23">
      <x:c r="A23" t="str">
        <x:v>WACC</x:v>
      </x:c>
      <x:c r="B23" s="22" t="n">
        <x:v>0.105</x:v>
      </x:c>
      <x:c r="D23" t="str">
        <x:v>RIL-attributable EV</x:v>
      </x:c>
      <x:c r="E23" s="32" t="n">
        <x:f>B29*B25</x:f>
        <x:v>121817.57830018076</x:v>
      </x:c>
      <x:c r="M23" t="str">
        <x:v>WACC / terminal growth are analyst assumptions.</x:v>
      </x:c>
    </x:row>
    <x:row r="24">
      <x:c r="A24" t="str">
        <x:v>Terminal growth</x:v>
      </x:c>
      <x:c r="B24" s="22" t="n">
        <x:v>0.02</x:v>
      </x:c>
      <x:c r="D24" t="str">
        <x:v>Terminal value / EV</x:v>
      </x:c>
      <x:c r="E24" s="34" t="n">
        <x:f>B28/B29</x:f>
        <x:v>0.3897967447033445</x:v>
      </x:c>
    </x:row>
    <x:row r="25">
      <x:c r="A25" t="str">
        <x:v>Ownership attributable to RIL</x:v>
      </x:c>
      <x:c r="B25" s="22" t="n">
        <x:v>1</x:v>
      </x:c>
      <x:c r="D25" t="str">
        <x:v>FY36 EV / EBITDA</x:v>
      </x:c>
      <x:c r="E25" s="38" t="n">
        <x:f>B29/L6</x:f>
        <x:v>8.144614104703198</x:v>
      </x:c>
    </x:row>
    <x:row r="26">
      <x:c r="A26" t="str">
        <x:v>PV of forecast FCFF</x:v>
      </x:c>
      <x:c r="B26" s="32" t="n">
        <x:f>SUM(C20:L20)</x:f>
        <x:v>74333.48283112551</x:v>
      </x:c>
    </x:row>
    <x:row r="27">
      <x:c r="A27" t="str">
        <x:v>Terminal value</x:v>
      </x:c>
      <x:c r="B27" s="32" t="n">
        <x:f>L18*(1+B24)/(B23-B24)</x:f>
        <x:v>128875.67403107922</x:v>
      </x:c>
    </x:row>
    <x:row r="28">
      <x:c r="A28" t="str">
        <x:v>PV of terminal value</x:v>
      </x:c>
      <x:c r="B28" s="32" t="n">
        <x:f>B27*L19</x:f>
        <x:v>47484.09546905524</x:v>
      </x:c>
    </x:row>
    <x:row r="29">
      <x:c r="A29" s="46" t="str">
        <x:v>Enterprise value</x:v>
      </x:c>
      <x:c r="B29" s="47" t="n">
        <x:f>B26+B28</x:f>
        <x:v>121817.57830018076</x:v>
      </x:c>
    </x:row>
  </x:sheetData>
  <x:mergeCells>
    <x:mergeCell ref="A1:M1"/>
    <x:mergeCell ref="A22:F2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38" hidden="0" customWidth="1"/>
  </x:cols>
  <x:sheetData>
    <x:row r="1" ht="24" customHeight="1">
      <x:c r="A1" s="8" t="str">
        <x:v>Media — 10-Year FCFF DCF</x:v>
      </x:c>
    </x:row>
    <x:row r="3">
      <x:c r="A3" s="14" t="str">
        <x:v>₹ crore unless stated</x:v>
      </x:c>
      <x:c r="B3" s="14" t="str">
        <x:v>FY26A</x:v>
      </x:c>
      <x:c r="C3" s="14" t="str">
        <x:v>FY27E</x:v>
      </x:c>
      <x:c r="D3" s="14" t="str">
        <x:v>FY28E</x:v>
      </x:c>
      <x:c r="E3" s="14" t="str">
        <x:v>FY29E</x:v>
      </x:c>
      <x:c r="F3" s="14" t="str">
        <x:v>FY30E</x:v>
      </x:c>
      <x:c r="G3" s="14" t="str">
        <x:v>FY31E</x:v>
      </x:c>
      <x:c r="H3" s="14" t="str">
        <x:v>FY32E</x:v>
      </x:c>
      <x:c r="I3" s="14" t="str">
        <x:v>FY33E</x:v>
      </x:c>
      <x:c r="J3" s="14" t="str">
        <x:v>FY34E</x:v>
      </x:c>
      <x:c r="K3" s="14" t="str">
        <x:v>FY35E</x:v>
      </x:c>
      <x:c r="L3" s="14" t="str">
        <x:v>FY36E</x:v>
      </x:c>
      <x:c r="M3" s="14" t="str">
        <x:v>Source / note</x:v>
      </x:c>
    </x:row>
    <x:row r="4">
      <x:c r="A4" t="str">
        <x:v>Revenue</x:v>
      </x:c>
      <x:c r="B4" s="40" t="n">
        <x:v>40682</x:v>
      </x:c>
      <x:c r="C4" s="32" t="n">
        <x:f>B4*(1+C5)</x:f>
        <x:v>45563.840000000004</x:v>
      </x:c>
      <x:c r="D4" s="32" t="n">
        <x:f>C4*(1+D5)</x:f>
        <x:v>50575.862400000005</x:v>
      </x:c>
      <x:c r="E4" s="32" t="n">
        <x:f>D4*(1+E5)</x:f>
        <x:v>55633.44864000001</x:v>
      </x:c>
      <x:c r="F4" s="32" t="n">
        <x:f>E4*(1+F5)</x:f>
        <x:v>60640.45901760001</x:v>
      </x:c>
      <x:c r="G4" s="32" t="n">
        <x:f>F4*(1+G5)</x:f>
        <x:v>65491.69573900802</x:v>
      </x:c>
      <x:c r="H4" s="32" t="n">
        <x:f>G4*(1+H5)</x:f>
        <x:v>70731.03139812866</x:v>
      </x:c>
      <x:c r="I4" s="32" t="n">
        <x:f>H4*(1+I5)</x:f>
        <x:v>75682.20359599766</x:v>
      </x:c>
      <x:c r="J4" s="32" t="n">
        <x:f>I4*(1+J5)</x:f>
        <x:v>80979.95784771751</x:v>
      </x:c>
      <x:c r="K4" s="32" t="n">
        <x:f>J4*(1+K5)</x:f>
        <x:v>85838.75531858056</x:v>
      </x:c>
      <x:c r="L4" s="32" t="n">
        <x:f>K4*(1+L5)</x:f>
        <x:v>90989.0806376954</x:v>
      </x:c>
      <x:c r="M4" t="str">
        <x:v>https://www.ril.com/investors/events-presentations?page=1</x:v>
      </x:c>
    </x:row>
    <x:row r="5">
      <x:c r="A5" t="str">
        <x:v>Growth</x:v>
      </x:c>
      <x:c r="B5" s="41"/>
      <x:c r="C5" s="22" t="n">
        <x:v>0.12</x:v>
      </x:c>
      <x:c r="D5" s="22" t="n">
        <x:v>0.11</x:v>
      </x:c>
      <x:c r="E5" s="22" t="n">
        <x:v>0.1</x:v>
      </x:c>
      <x:c r="F5" s="22" t="n">
        <x:v>0.09</x:v>
      </x:c>
      <x:c r="G5" s="22" t="n">
        <x:v>0.08</x:v>
      </x:c>
      <x:c r="H5" s="22" t="n">
        <x:v>0.08</x:v>
      </x:c>
      <x:c r="I5" s="22" t="n">
        <x:v>0.07</x:v>
      </x:c>
      <x:c r="J5" s="22" t="n">
        <x:v>0.07</x:v>
      </x:c>
      <x:c r="K5" s="22" t="n">
        <x:v>0.06</x:v>
      </x:c>
      <x:c r="L5" s="22" t="n">
        <x:v>0.06</x:v>
      </x:c>
      <x:c r="M5" t="str">
        <x:v>Blue cells = analyst inputs; black = formulas; green = same-workbook links.</x:v>
      </x:c>
    </x:row>
    <x:row r="6">
      <x:c r="A6" t="str">
        <x:v>EBITDA margin</x:v>
      </x:c>
      <x:c r="B6" s="40" t="n">
        <x:v>5842</x:v>
      </x:c>
      <x:c r="C6" s="32" t="n">
        <x:f>C4*C7</x:f>
        <x:v>7062.395200000001</x:v>
      </x:c>
      <x:c r="D6" s="32" t="n">
        <x:f>D4*D7</x:f>
        <x:v>8345.017296000002</x:v>
      </x:c>
      <x:c r="E6" s="32" t="n">
        <x:f>E4*E7</x:f>
        <x:v>9735.853512000002</x:v>
      </x:c>
      <x:c r="F6" s="32" t="n">
        <x:f>F4*F7</x:f>
        <x:v>11218.484918256003</x:v>
      </x:c>
      <x:c r="G6" s="32" t="n">
        <x:f>G4*G7</x:f>
        <x:v>12443.422190411524</x:v>
      </x:c>
      <x:c r="H6" s="32" t="n">
        <x:f>H4*H7</x:f>
        <x:v>13792.55112263509</x:v>
      </x:c>
      <x:c r="I6" s="32" t="n">
        <x:f>I4*I7</x:f>
        <x:v>15136.440719199534</x:v>
      </x:c>
      <x:c r="J6" s="32" t="n">
        <x:f>J4*J7</x:f>
        <x:v>16600.89135878209</x:v>
      </x:c>
      <x:c r="K6" s="32" t="n">
        <x:f>K4*K7</x:f>
        <x:v>18026.138616901917</x:v>
      </x:c>
      <x:c r="L6" s="32" t="n">
        <x:f>L4*L7</x:f>
        <x:v>19107.706933916033</x:v>
      </x:c>
    </x:row>
    <x:row r="7">
      <x:c r="A7" t="str">
        <x:v>EBITDA</x:v>
      </x:c>
      <x:c r="B7" s="34" t="n">
        <x:f>IFERROR(B6/B4,0)</x:f>
        <x:v>0.14360159284204316</x:v>
      </x:c>
      <x:c r="C7" s="22" t="n">
        <x:v>0.155</x:v>
      </x:c>
      <x:c r="D7" s="22" t="n">
        <x:v>0.165</x:v>
      </x:c>
      <x:c r="E7" s="22" t="n">
        <x:v>0.175</x:v>
      </x:c>
      <x:c r="F7" s="22" t="n">
        <x:v>0.185</x:v>
      </x:c>
      <x:c r="G7" s="22" t="n">
        <x:v>0.19</x:v>
      </x:c>
      <x:c r="H7" s="22" t="n">
        <x:v>0.195</x:v>
      </x:c>
      <x:c r="I7" s="22" t="n">
        <x:v>0.2</x:v>
      </x:c>
      <x:c r="J7" s="22" t="n">
        <x:v>0.205</x:v>
      </x:c>
      <x:c r="K7" s="22" t="n">
        <x:v>0.21</x:v>
      </x:c>
      <x:c r="L7" s="22" t="n">
        <x:v>0.21</x:v>
      </x:c>
    </x:row>
    <x:row r="8">
      <x:c r="A8" t="str">
        <x:v>D&amp;A % revenue</x:v>
      </x:c>
      <x:c r="B8" s="34" t="n">
        <x:v>0.04</x:v>
      </x:c>
      <x:c r="C8" s="22" t="n">
        <x:v>0.04</x:v>
      </x:c>
      <x:c r="D8" s="22" t="n">
        <x:v>0.04</x:v>
      </x:c>
      <x:c r="E8" s="22" t="n">
        <x:v>0.04</x:v>
      </x:c>
      <x:c r="F8" s="22" t="n">
        <x:v>0.04</x:v>
      </x:c>
      <x:c r="G8" s="22" t="n">
        <x:v>0.04</x:v>
      </x:c>
      <x:c r="H8" s="22" t="n">
        <x:v>0.04</x:v>
      </x:c>
      <x:c r="I8" s="22" t="n">
        <x:v>0.04</x:v>
      </x:c>
      <x:c r="J8" s="22" t="n">
        <x:v>0.04</x:v>
      </x:c>
      <x:c r="K8" s="22" t="n">
        <x:v>0.04</x:v>
      </x:c>
      <x:c r="L8" s="22" t="n">
        <x:v>0.04</x:v>
      </x:c>
    </x:row>
    <x:row r="9">
      <x:c r="A9" t="str">
        <x:v>D&amp;A</x:v>
      </x:c>
      <x:c r="B9" s="32" t="n">
        <x:f>B4*B8</x:f>
        <x:v>1627.28</x:v>
      </x:c>
      <x:c r="C9" s="32" t="n">
        <x:f>C4*C8</x:f>
        <x:v>1822.5536000000002</x:v>
      </x:c>
      <x:c r="D9" s="32" t="n">
        <x:f>D4*D8</x:f>
        <x:v>2023.0344960000002</x:v>
      </x:c>
      <x:c r="E9" s="32" t="n">
        <x:f>E4*E8</x:f>
        <x:v>2225.3379456000002</x:v>
      </x:c>
      <x:c r="F9" s="32" t="n">
        <x:f>F4*F8</x:f>
        <x:v>2425.6183607040007</x:v>
      </x:c>
      <x:c r="G9" s="32" t="n">
        <x:f>G4*G8</x:f>
        <x:v>2619.667829560321</x:v>
      </x:c>
      <x:c r="H9" s="32" t="n">
        <x:f>H4*H8</x:f>
        <x:v>2829.2412559251466</x:v>
      </x:c>
      <x:c r="I9" s="32" t="n">
        <x:f>I4*I8</x:f>
        <x:v>3027.2881438399068</x:v>
      </x:c>
      <x:c r="J9" s="32" t="n">
        <x:f>J4*J8</x:f>
        <x:v>3239.1983139087006</x:v>
      </x:c>
      <x:c r="K9" s="32" t="n">
        <x:f>K4*K8</x:f>
        <x:v>3433.5502127432223</x:v>
      </x:c>
      <x:c r="L9" s="32" t="n">
        <x:f>L4*L8</x:f>
        <x:v>3639.5632255078162</x:v>
      </x:c>
    </x:row>
    <x:row r="10">
      <x:c r="A10" t="str">
        <x:v>EBIT</x:v>
      </x:c>
      <x:c r="B10" s="32" t="n">
        <x:f>B6-B9</x:f>
        <x:v>4214.72</x:v>
      </x:c>
      <x:c r="C10" s="32" t="n">
        <x:f>C6-C9</x:f>
        <x:v>5239.841600000001</x:v>
      </x:c>
      <x:c r="D10" s="32" t="n">
        <x:f>D6-D9</x:f>
        <x:v>6321.982800000002</x:v>
      </x:c>
      <x:c r="E10" s="32" t="n">
        <x:f>E6-E9</x:f>
        <x:v>7510.515566400001</x:v>
      </x:c>
      <x:c r="F10" s="32" t="n">
        <x:f>F6-F9</x:f>
        <x:v>8792.866557552003</x:v>
      </x:c>
      <x:c r="G10" s="32" t="n">
        <x:f>G6-G9</x:f>
        <x:v>9823.754360851202</x:v>
      </x:c>
      <x:c r="H10" s="32" t="n">
        <x:f>H6-H9</x:f>
        <x:v>10963.309866709944</x:v>
      </x:c>
      <x:c r="I10" s="32" t="n">
        <x:f>I6-I9</x:f>
        <x:v>12109.152575359627</x:v>
      </x:c>
      <x:c r="J10" s="32" t="n">
        <x:f>J6-J9</x:f>
        <x:v>13361.69304487339</x:v>
      </x:c>
      <x:c r="K10" s="32" t="n">
        <x:f>K6-K9</x:f>
        <x:v>14592.588404158694</x:v>
      </x:c>
      <x:c r="L10" s="32" t="n">
        <x:f>L6-L9</x:f>
        <x:v>15468.143708408217</x:v>
      </x:c>
    </x:row>
    <x:row r="11">
      <x:c r="A11" t="str">
        <x:v>Cash tax rate</x:v>
      </x:c>
      <x:c r="B11" s="44" t="n">
        <x:f>'Global Inputs'!$B$10</x:f>
        <x:v>0.25</x:v>
      </x:c>
      <x:c r="C11" s="44" t="n">
        <x:f>'Global Inputs'!$B$10</x:f>
        <x:v>0.25</x:v>
      </x:c>
      <x:c r="D11" s="44" t="n">
        <x:f>'Global Inputs'!$B$10</x:f>
        <x:v>0.25</x:v>
      </x:c>
      <x:c r="E11" s="44" t="n">
        <x:f>'Global Inputs'!$B$10</x:f>
        <x:v>0.25</x:v>
      </x:c>
      <x:c r="F11" s="44" t="n">
        <x:f>'Global Inputs'!$B$10</x:f>
        <x:v>0.25</x:v>
      </x:c>
      <x:c r="G11" s="44" t="n">
        <x:f>'Global Inputs'!$B$10</x:f>
        <x:v>0.25</x:v>
      </x:c>
      <x:c r="H11" s="44" t="n">
        <x:f>'Global Inputs'!$B$10</x:f>
        <x:v>0.25</x:v>
      </x:c>
      <x:c r="I11" s="44" t="n">
        <x:f>'Global Inputs'!$B$10</x:f>
        <x:v>0.25</x:v>
      </x:c>
      <x:c r="J11" s="44" t="n">
        <x:f>'Global Inputs'!$B$10</x:f>
        <x:v>0.25</x:v>
      </x:c>
      <x:c r="K11" s="44" t="n">
        <x:f>'Global Inputs'!$B$10</x:f>
        <x:v>0.25</x:v>
      </x:c>
      <x:c r="L11" s="44" t="n">
        <x:f>'Global Inputs'!$B$10</x:f>
        <x:v>0.25</x:v>
      </x:c>
    </x:row>
    <x:row r="12">
      <x:c r="A12" t="str">
        <x:v>Cash taxes</x:v>
      </x:c>
      <x:c r="B12" s="32" t="n">
        <x:f>MAX(0,B10*B11)</x:f>
        <x:v>1053.68</x:v>
      </x:c>
      <x:c r="C12" s="32" t="n">
        <x:f>MAX(0,C10*C11)</x:f>
        <x:v>1309.9604000000002</x:v>
      </x:c>
      <x:c r="D12" s="32" t="n">
        <x:f>MAX(0,D10*D11)</x:f>
        <x:v>1580.4957000000004</x:v>
      </x:c>
      <x:c r="E12" s="32" t="n">
        <x:f>MAX(0,E10*E11)</x:f>
        <x:v>1877.6288916000003</x:v>
      </x:c>
      <x:c r="F12" s="32" t="n">
        <x:f>MAX(0,F10*F11)</x:f>
        <x:v>2198.2166393880007</x:v>
      </x:c>
      <x:c r="G12" s="32" t="n">
        <x:f>MAX(0,G10*G11)</x:f>
        <x:v>2455.9385902128006</x:v>
      </x:c>
      <x:c r="H12" s="32" t="n">
        <x:f>MAX(0,H10*H11)</x:f>
        <x:v>2740.827466677486</x:v>
      </x:c>
      <x:c r="I12" s="32" t="n">
        <x:f>MAX(0,I10*I11)</x:f>
        <x:v>3027.2881438399068</x:v>
      </x:c>
      <x:c r="J12" s="32" t="n">
        <x:f>MAX(0,J10*J11)</x:f>
        <x:v>3340.4232612183473</x:v>
      </x:c>
      <x:c r="K12" s="32" t="n">
        <x:f>MAX(0,K10*K11)</x:f>
        <x:v>3648.1471010396735</x:v>
      </x:c>
      <x:c r="L12" s="32" t="n">
        <x:f>MAX(0,L10*L11)</x:f>
        <x:v>3867.0359271020543</x:v>
      </x:c>
    </x:row>
    <x:row r="13">
      <x:c r="A13" t="str">
        <x:v>NOPAT</x:v>
      </x:c>
      <x:c r="B13" s="32" t="n">
        <x:f>B10-B12</x:f>
        <x:v>3161.04</x:v>
      </x:c>
      <x:c r="C13" s="32" t="n">
        <x:f>C10-C12</x:f>
        <x:v>3929.8812000000007</x:v>
      </x:c>
      <x:c r="D13" s="32" t="n">
        <x:f>D10-D12</x:f>
        <x:v>4741.487100000001</x:v>
      </x:c>
      <x:c r="E13" s="32" t="n">
        <x:f>E10-E12</x:f>
        <x:v>5632.886674800001</x:v>
      </x:c>
      <x:c r="F13" s="32" t="n">
        <x:f>F10-F12</x:f>
        <x:v>6594.649918164002</x:v>
      </x:c>
      <x:c r="G13" s="32" t="n">
        <x:f>G10-G12</x:f>
        <x:v>7367.815770638402</x:v>
      </x:c>
      <x:c r="H13" s="32" t="n">
        <x:f>H10-H12</x:f>
        <x:v>8222.482400032459</x:v>
      </x:c>
      <x:c r="I13" s="32" t="n">
        <x:f>I10-I12</x:f>
        <x:v>9081.86443151972</x:v>
      </x:c>
      <x:c r="J13" s="32" t="n">
        <x:f>J10-J12</x:f>
        <x:v>10021.269783655041</x:v>
      </x:c>
      <x:c r="K13" s="32" t="n">
        <x:f>K10-K12</x:f>
        <x:v>10944.44130311902</x:v>
      </x:c>
      <x:c r="L13" s="32" t="n">
        <x:f>L10-L12</x:f>
        <x:v>11601.107781306164</x:v>
      </x:c>
    </x:row>
    <x:row r="14">
      <x:c r="A14" t="str">
        <x:v>Capex % revenue</x:v>
      </x:c>
      <x:c r="B14" s="34" t="n">
        <x:v>0.03</x:v>
      </x:c>
      <x:c r="C14" s="22" t="n">
        <x:v>0.03</x:v>
      </x:c>
      <x:c r="D14" s="22" t="n">
        <x:v>0.03</x:v>
      </x:c>
      <x:c r="E14" s="22" t="n">
        <x:v>0.03</x:v>
      </x:c>
      <x:c r="F14" s="22" t="n">
        <x:v>0.03</x:v>
      </x:c>
      <x:c r="G14" s="22" t="n">
        <x:v>0.03</x:v>
      </x:c>
      <x:c r="H14" s="22" t="n">
        <x:v>0.03</x:v>
      </x:c>
      <x:c r="I14" s="22" t="n">
        <x:v>0.03</x:v>
      </x:c>
      <x:c r="J14" s="22" t="n">
        <x:v>0.03</x:v>
      </x:c>
      <x:c r="K14" s="22" t="n">
        <x:v>0.03</x:v>
      </x:c>
      <x:c r="L14" s="22" t="n">
        <x:v>0.03</x:v>
      </x:c>
    </x:row>
    <x:row r="15">
      <x:c r="A15" t="str">
        <x:v>Capex</x:v>
      </x:c>
      <x:c r="B15" s="32" t="n">
        <x:f>B4*B14</x:f>
        <x:v>1220.46</x:v>
      </x:c>
      <x:c r="C15" s="32" t="n">
        <x:f>C4*C14</x:f>
        <x:v>1366.9152000000001</x:v>
      </x:c>
      <x:c r="D15" s="32" t="n">
        <x:f>D4*D14</x:f>
        <x:v>1517.2758720000002</x:v>
      </x:c>
      <x:c r="E15" s="32" t="n">
        <x:f>E4*E14</x:f>
        <x:v>1669.0034592000002</x:v>
      </x:c>
      <x:c r="F15" s="32" t="n">
        <x:f>F4*F14</x:f>
        <x:v>1819.2137705280004</x:v>
      </x:c>
      <x:c r="G15" s="32" t="n">
        <x:f>G4*G14</x:f>
        <x:v>1964.7508721702407</x:v>
      </x:c>
      <x:c r="H15" s="32" t="n">
        <x:f>H4*H14</x:f>
        <x:v>2121.9309419438596</x:v>
      </x:c>
      <x:c r="I15" s="32" t="n">
        <x:f>I4*I14</x:f>
        <x:v>2270.46610787993</x:v>
      </x:c>
      <x:c r="J15" s="32" t="n">
        <x:f>J4*J14</x:f>
        <x:v>2429.398735431525</x:v>
      </x:c>
      <x:c r="K15" s="32" t="n">
        <x:f>K4*K14</x:f>
        <x:v>2575.1626595574166</x:v>
      </x:c>
      <x:c r="L15" s="32" t="n">
        <x:f>L4*L14</x:f>
        <x:v>2729.6724191308617</x:v>
      </x:c>
    </x:row>
    <x:row r="16">
      <x:c r="A16" t="str">
        <x:v>NWC % revenue</x:v>
      </x:c>
      <x:c r="B16" s="22" t="n">
        <x:v>0.05</x:v>
      </x:c>
      <x:c r="C16" s="22" t="n">
        <x:v>0.05</x:v>
      </x:c>
      <x:c r="D16" s="22" t="n">
        <x:v>0.05</x:v>
      </x:c>
      <x:c r="E16" s="22" t="n">
        <x:v>0.05</x:v>
      </x:c>
      <x:c r="F16" s="22" t="n">
        <x:v>0.05</x:v>
      </x:c>
      <x:c r="G16" s="22" t="n">
        <x:v>0.05</x:v>
      </x:c>
      <x:c r="H16" s="22" t="n">
        <x:v>0.05</x:v>
      </x:c>
      <x:c r="I16" s="22" t="n">
        <x:v>0.05</x:v>
      </x:c>
      <x:c r="J16" s="22" t="n">
        <x:v>0.05</x:v>
      </x:c>
      <x:c r="K16" s="22" t="n">
        <x:v>0.05</x:v>
      </x:c>
      <x:c r="L16" s="22" t="n">
        <x:v>0.05</x:v>
      </x:c>
    </x:row>
    <x:row r="17">
      <x:c r="A17" t="str">
        <x:v>Change in NWC</x:v>
      </x:c>
      <x:c r="B17" s="32" t="n">
        <x:v>0</x:v>
      </x:c>
      <x:c r="C17" s="32" t="n">
        <x:f>(C4-B4)*C16</x:f>
        <x:v>244.0920000000002</x:v>
      </x:c>
      <x:c r="D17" s="32" t="n">
        <x:f>(D4-C4)*D16</x:f>
        <x:v>250.6011200000001</x:v>
      </x:c>
      <x:c r="E17" s="32" t="n">
        <x:f>(E4-D4)*E16</x:f>
        <x:v>252.87931200000023</x:v>
      </x:c>
      <x:c r="F17" s="32" t="n">
        <x:f>(F4-E4)*F16</x:f>
        <x:v>250.35051888000018</x:v>
      </x:c>
      <x:c r="G17" s="32" t="n">
        <x:f>(G4-F4)*G16</x:f>
        <x:v>242.5618360704004</x:v>
      </x:c>
      <x:c r="H17" s="32" t="n">
        <x:f>(H4-G4)*H16</x:f>
        <x:v>261.966782956032</x:v>
      </x:c>
      <x:c r="I17" s="32" t="n">
        <x:f>(I4-H4)*I16</x:f>
        <x:v>247.5586098934502</x:v>
      </x:c>
      <x:c r="J17" s="32" t="n">
        <x:f>(J4-I4)*J16</x:f>
        <x:v>264.8877125859923</x:v>
      </x:c>
      <x:c r="K17" s="32" t="n">
        <x:f>(K4-J4)*K16</x:f>
        <x:v>242.93987354315252</x:v>
      </x:c>
      <x:c r="L17" s="32" t="n">
        <x:f>(L4-K4)*L16</x:f>
        <x:v>257.51626595574197</x:v>
      </x:c>
    </x:row>
    <x:row r="18">
      <x:c r="A18" s="46" t="str">
        <x:v>FCFF</x:v>
      </x:c>
      <x:c r="B18" s="47" t="n">
        <x:f>B13+B9-B15-B17</x:f>
        <x:v>3567.8599999999997</x:v>
      </x:c>
      <x:c r="C18" s="47" t="n">
        <x:f>C13+C9-C15-C17</x:f>
        <x:v>4141.4276</x:v>
      </x:c>
      <x:c r="D18" s="47" t="n">
        <x:f>D13+D9-D15-D17</x:f>
        <x:v>4996.644604000001</x:v>
      </x:c>
      <x:c r="E18" s="47" t="n">
        <x:f>E13+E9-E15-E17</x:f>
        <x:v>5936.341849200001</x:v>
      </x:c>
      <x:c r="F18" s="47" t="n">
        <x:f>F13+F9-F15-F17</x:f>
        <x:v>6950.703989460003</x:v>
      </x:c>
      <x:c r="G18" s="47" t="n">
        <x:f>G13+G9-G15-G17</x:f>
        <x:v>7780.1708919580815</x:v>
      </x:c>
      <x:c r="H18" s="47" t="n">
        <x:f>H13+H9-H15-H17</x:f>
        <x:v>8667.825931057714</x:v>
      </x:c>
      <x:c r="I18" s="47" t="n">
        <x:f>I13+I9-I15-I17</x:f>
        <x:v>9591.127857586245</x:v>
      </x:c>
      <x:c r="J18" s="47" t="n">
        <x:f>J13+J9-J15-J17</x:f>
        <x:v>10566.181649546224</x:v>
      </x:c>
      <x:c r="K18" s="47" t="n">
        <x:f>K13+K9-K15-K17</x:f>
        <x:v>11559.888982761673</x:v>
      </x:c>
      <x:c r="L18" s="47" t="n">
        <x:f>L13+L9-L15-L17</x:f>
        <x:v>12253.482321727375</x:v>
      </x:c>
    </x:row>
    <x:row r="19">
      <x:c r="A19" t="str">
        <x:v>Discount factor</x:v>
      </x:c>
      <x:c r="B19" s="36" t="n">
        <x:v>1</x:v>
      </x:c>
      <x:c r="C19" s="36" t="n">
        <x:f>1/(1+$B$23)^1</x:f>
        <x:v>0.9049773755656109</x:v>
      </x:c>
      <x:c r="D19" s="36" t="n">
        <x:f>1/(1+$B$23)^2</x:f>
        <x:v>0.8189840502856207</x:v>
      </x:c>
      <x:c r="E19" s="36" t="n">
        <x:f>1/(1+$B$23)^3</x:f>
        <x:v>0.7411620364575753</x:v>
      </x:c>
      <x:c r="F19" s="36" t="n">
        <x:f>1/(1+$B$23)^4</x:f>
        <x:v>0.67073487462224</x:v>
      </x:c>
      <x:c r="G19" s="36" t="n">
        <x:f>1/(1+$B$23)^5</x:f>
        <x:v>0.6069998865359638</x:v>
      </x:c>
      <x:c r="H19" s="36" t="n">
        <x:f>1/(1+$B$23)^6</x:f>
        <x:v>0.54932116428594</x:v>
      </x:c>
      <x:c r="I19" s="36" t="n">
        <x:f>1/(1+$B$23)^7</x:f>
        <x:v>0.4971232255981358</x:v>
      </x:c>
      <x:c r="J19" s="36" t="n">
        <x:f>1/(1+$B$23)^8</x:f>
        <x:v>0.44988527203451206</x:v>
      </x:c>
      <x:c r="K19" s="36" t="n">
        <x:f>1/(1+$B$23)^9</x:f>
        <x:v>0.40713599279141366</x:v>
      </x:c>
      <x:c r="L19" s="36" t="n">
        <x:f>1/(1+$B$23)^10</x:f>
        <x:v>0.36844886225467294</x:v>
      </x:c>
    </x:row>
    <x:row r="20">
      <x:c r="A20" s="46" t="str">
        <x:v>PV of FCFF</x:v>
      </x:c>
      <x:c r="B20" s="47"/>
      <x:c r="C20" s="47" t="n">
        <x:f>C18*C19</x:f>
        <x:v>3747.8982805429864</x:v>
      </x:c>
      <x:c r="D20" s="47" t="n">
        <x:f>D18*D19</x:f>
        <x:v>4092.1722356217124</x:v>
      </x:c>
      <x:c r="E20" s="47" t="n">
        <x:f>E18*E19</x:f>
        <x:v>4399.791214061401</x:v>
      </x:c>
      <x:c r="F20" s="47" t="n">
        <x:f>F18*F19</x:f>
        <x:v>4662.079568906758</x:v>
      </x:c>
      <x:c r="G20" s="47" t="n">
        <x:f>G18*G19</x:f>
        <x:v>4722.562848648964</x:v>
      </x:c>
      <x:c r="H20" s="47" t="n">
        <x:f>H18*H19</x:f>
        <x:v>4761.420232276486</x:v>
      </x:c>
      <x:c r="I20" s="47" t="n">
        <x:f>I18*I19</x:f>
        <x:v>4767.972417687412</x:v>
      </x:c>
      <x:c r="J20" s="47" t="n">
        <x:f>J18*J19</x:f>
        <x:v>4753.569505772172</x:v>
      </x:c>
      <x:c r="K20" s="47" t="n">
        <x:f>K18*K19</x:f>
        <x:v>4706.446877555199</x:v>
      </x:c>
      <x:c r="L20" s="47" t="n">
        <x:f>L18*L19</x:f>
        <x:v>4514.7816200982</x:v>
      </x:c>
    </x:row>
    <x:row r="22">
      <x:c r="A22" s="30" t="str">
        <x:v>DCF Valuation</x:v>
      </x:c>
    </x:row>
    <x:row r="23">
      <x:c r="A23" t="str">
        <x:v>WACC</x:v>
      </x:c>
      <x:c r="B23" s="22" t="n">
        <x:v>0.105</x:v>
      </x:c>
      <x:c r="D23" t="str">
        <x:v>RIL-attributable EV</x:v>
      </x:c>
      <x:c r="E23" s="32" t="n">
        <x:f>B29*B25</x:f>
        <x:v>78167.53687742735</x:v>
      </x:c>
      <x:c r="M23" t="str">
        <x:v>WACC / terminal growth are analyst assumptions.</x:v>
      </x:c>
    </x:row>
    <x:row r="24">
      <x:c r="A24" t="str">
        <x:v>Terminal growth</x:v>
      </x:c>
      <x:c r="B24" s="22" t="n">
        <x:v>0.045</x:v>
      </x:c>
      <x:c r="D24" t="str">
        <x:v>Terminal value / EV</x:v>
      </x:c>
      <x:c r="E24" s="34" t="n">
        <x:f>B28/B29</x:f>
        <x:v>0.6353565076367302</x:v>
      </x:c>
    </x:row>
    <x:row r="25">
      <x:c r="A25" t="str">
        <x:v>Ownership attributable to RIL</x:v>
      </x:c>
      <x:c r="B25" s="22" t="n">
        <x:v>0.6316</x:v>
      </x:c>
      <x:c r="D25" t="str">
        <x:v>FY36 EV / EBITDA</x:v>
      </x:c>
      <x:c r="E25" s="38" t="n">
        <x:f>B29/L6</x:f>
        <x:v>6.477027399428021</x:v>
      </x:c>
    </x:row>
    <x:row r="26">
      <x:c r="A26" t="str">
        <x:v>PV of forecast FCFF</x:v>
      </x:c>
      <x:c r="B26" s="32" t="n">
        <x:f>SUM(C20:L20)</x:f>
        <x:v>45128.694801171296</x:v>
      </x:c>
    </x:row>
    <x:row r="27">
      <x:c r="A27" t="str">
        <x:v>Terminal value</x:v>
      </x:c>
      <x:c r="B27" s="32" t="n">
        <x:f>L18*(1+B24)/(B23-B24)</x:f>
        <x:v>213414.81710341843</x:v>
      </x:c>
    </x:row>
    <x:row r="28">
      <x:c r="A28" t="str">
        <x:v>PV of terminal value</x:v>
      </x:c>
      <x:c r="B28" s="32" t="n">
        <x:f>B27*L19</x:f>
        <x:v>78632.44655004363</x:v>
      </x:c>
    </x:row>
    <x:row r="29">
      <x:c r="A29" s="46" t="str">
        <x:v>Enterprise value</x:v>
      </x:c>
      <x:c r="B29" s="47" t="n">
        <x:f>B26+B28</x:f>
        <x:v>123761.14135121493</x:v>
      </x:c>
    </x:row>
  </x:sheetData>
  <x:mergeCells>
    <x:mergeCell ref="A1:M1"/>
    <x:mergeCell ref="A22:F2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38" hidden="0" customWidth="1"/>
  </x:cols>
  <x:sheetData>
    <x:row r="1" ht="24" customHeight="1">
      <x:c r="A1" s="8" t="str">
        <x:v>New Energy — 10-Year FCFF DCF</x:v>
      </x:c>
    </x:row>
    <x:row r="3">
      <x:c r="A3" s="14" t="str">
        <x:v>₹ crore unless stated</x:v>
      </x:c>
      <x:c r="B3" s="14" t="str">
        <x:v>FY26A</x:v>
      </x:c>
      <x:c r="C3" s="14" t="str">
        <x:v>FY27E</x:v>
      </x:c>
      <x:c r="D3" s="14" t="str">
        <x:v>FY28E</x:v>
      </x:c>
      <x:c r="E3" s="14" t="str">
        <x:v>FY29E</x:v>
      </x:c>
      <x:c r="F3" s="14" t="str">
        <x:v>FY30E</x:v>
      </x:c>
      <x:c r="G3" s="14" t="str">
        <x:v>FY31E</x:v>
      </x:c>
      <x:c r="H3" s="14" t="str">
        <x:v>FY32E</x:v>
      </x:c>
      <x:c r="I3" s="14" t="str">
        <x:v>FY33E</x:v>
      </x:c>
      <x:c r="J3" s="14" t="str">
        <x:v>FY34E</x:v>
      </x:c>
      <x:c r="K3" s="14" t="str">
        <x:v>FY35E</x:v>
      </x:c>
      <x:c r="L3" s="14" t="str">
        <x:v>FY36E</x:v>
      </x:c>
      <x:c r="M3" s="14" t="str">
        <x:v>Source / note</x:v>
      </x:c>
    </x:row>
    <x:row r="4">
      <x:c r="A4" t="str">
        <x:v>Revenue</x:v>
      </x:c>
      <x:c r="B4" s="40" t="n">
        <x:v>1000</x:v>
      </x:c>
      <x:c r="C4" s="32" t="n">
        <x:f>B4*(1+C5)</x:f>
        <x:v>5000</x:v>
      </x:c>
      <x:c r="D4" s="32" t="n">
        <x:f>C4*(1+D5)</x:f>
        <x:v>15000</x:v>
      </x:c>
      <x:c r="E4" s="32" t="n">
        <x:f>D4*(1+E5)</x:f>
        <x:v>30000</x:v>
      </x:c>
      <x:c r="F4" s="32" t="n">
        <x:f>E4*(1+F5)</x:f>
        <x:v>50001</x:v>
      </x:c>
      <x:c r="G4" s="32" t="n">
        <x:f>F4*(1+G5)</x:f>
        <x:v>70001.4</x:v>
      </x:c>
      <x:c r="H4" s="32" t="n">
        <x:f>G4*(1+H5)</x:f>
        <x:v>90000.79998</x:v>
      </x:c>
      <x:c r="I4" s="32" t="n">
        <x:f>H4*(1+I5)</x:f>
        <x:v>109998.97773555599</x:v>
      </x:c>
      <x:c r="J4" s="32" t="n">
        <x:f>I4*(1+J5)</x:f>
        <x:v>129996.79188788007</x:v>
      </x:c>
      <x:c r="K4" s="32" t="n">
        <x:f>J4*(1+K5)</x:f>
        <x:v>149990.29848023603</x:v>
      </x:c>
      <x:c r="L4" s="32" t="n">
        <x:f>K4*(1+L5)</x:f>
        <x:v>169984.0052676515</x:v>
      </x:c>
      <x:c r="M4" t="str">
        <x:v>Analyst ramp case; refresh as commissioning disclosure improves.</x:v>
      </x:c>
    </x:row>
    <x:row r="5">
      <x:c r="A5" t="str">
        <x:v>Growth</x:v>
      </x:c>
      <x:c r="B5" s="41"/>
      <x:c r="C5" s="22" t="n">
        <x:v>4</x:v>
      </x:c>
      <x:c r="D5" s="22" t="n">
        <x:v>2</x:v>
      </x:c>
      <x:c r="E5" s="22" t="n">
        <x:v>1</x:v>
      </x:c>
      <x:c r="F5" s="22" t="n">
        <x:v>0.6667</x:v>
      </x:c>
      <x:c r="G5" s="22" t="n">
        <x:v>0.4</x:v>
      </x:c>
      <x:c r="H5" s="22" t="n">
        <x:v>0.2857</x:v>
      </x:c>
      <x:c r="I5" s="22" t="n">
        <x:v>0.2222</x:v>
      </x:c>
      <x:c r="J5" s="22" t="n">
        <x:v>0.1818</x:v>
      </x:c>
      <x:c r="K5" s="22" t="n">
        <x:v>0.1538</x:v>
      </x:c>
      <x:c r="L5" s="22" t="n">
        <x:v>0.1333</x:v>
      </x:c>
      <x:c r="M5" t="str">
        <x:v>Blue cells = analyst inputs; black = formulas; green = same-workbook links.</x:v>
      </x:c>
    </x:row>
    <x:row r="6">
      <x:c r="A6" t="str">
        <x:v>EBITDA margin</x:v>
      </x:c>
      <x:c r="B6" s="40" t="n">
        <x:v>-100</x:v>
      </x:c>
      <x:c r="C6" s="32" t="n">
        <x:f>C4*C7</x:f>
        <x:v>-500</x:v>
      </x:c>
      <x:c r="D6" s="32" t="n">
        <x:f>D4*D7</x:f>
        <x:v>750</x:v>
      </x:c>
      <x:c r="E6" s="32" t="n">
        <x:f>E4*E7</x:f>
        <x:v>3600</x:v>
      </x:c>
      <x:c r="F6" s="32" t="n">
        <x:f>F4*F7</x:f>
        <x:v>9000.18</x:v>
      </x:c>
      <x:c r="G6" s="32" t="n">
        <x:f>G4*G7</x:f>
        <x:v>15400.307999999999</x:v>
      </x:c>
      <x:c r="H6" s="32" t="n">
        <x:f>H4*H7</x:f>
        <x:v>21600.1919952</x:v>
      </x:c>
      <x:c r="I6" s="32" t="n">
        <x:f>I4*I7</x:f>
        <x:v>27499.744433888998</x:v>
      </x:c>
      <x:c r="J6" s="32" t="n">
        <x:f>J4*J7</x:f>
        <x:v>33799.16589084882</x:v>
      </x:c>
      <x:c r="K6" s="32" t="n">
        <x:f>K4*K7</x:f>
        <x:v>40497.38058966373</x:v>
      </x:c>
      <x:c r="L6" s="32" t="n">
        <x:f>L4*L7</x:f>
        <x:v>47595.52147494242</x:v>
      </x:c>
    </x:row>
    <x:row r="7">
      <x:c r="A7" t="str">
        <x:v>EBITDA</x:v>
      </x:c>
      <x:c r="B7" s="34" t="n">
        <x:f>IFERROR(B6/B4,0)</x:f>
        <x:v>-0.1</x:v>
      </x:c>
      <x:c r="C7" s="22" t="n">
        <x:v>-0.1</x:v>
      </x:c>
      <x:c r="D7" s="22" t="n">
        <x:v>0.05</x:v>
      </x:c>
      <x:c r="E7" s="22" t="n">
        <x:v>0.12</x:v>
      </x:c>
      <x:c r="F7" s="22" t="n">
        <x:v>0.18</x:v>
      </x:c>
      <x:c r="G7" s="22" t="n">
        <x:v>0.22</x:v>
      </x:c>
      <x:c r="H7" s="22" t="n">
        <x:v>0.24</x:v>
      </x:c>
      <x:c r="I7" s="22" t="n">
        <x:v>0.25</x:v>
      </x:c>
      <x:c r="J7" s="22" t="n">
        <x:v>0.26</x:v>
      </x:c>
      <x:c r="K7" s="22" t="n">
        <x:v>0.27</x:v>
      </x:c>
      <x:c r="L7" s="22" t="n">
        <x:v>0.28</x:v>
      </x:c>
    </x:row>
    <x:row r="8">
      <x:c r="A8" t="str">
        <x:v>D&amp;A % revenue</x:v>
      </x:c>
      <x:c r="B8" s="34" t="n">
        <x:v>0.1</x:v>
      </x:c>
      <x:c r="C8" s="22" t="n">
        <x:v>0.1</x:v>
      </x:c>
      <x:c r="D8" s="22" t="n">
        <x:v>0.1</x:v>
      </x:c>
      <x:c r="E8" s="22" t="n">
        <x:v>0.09</x:v>
      </x:c>
      <x:c r="F8" s="22" t="n">
        <x:v>0.08</x:v>
      </x:c>
      <x:c r="G8" s="22" t="n">
        <x:v>0.07</x:v>
      </x:c>
      <x:c r="H8" s="22" t="n">
        <x:v>0.06</x:v>
      </x:c>
      <x:c r="I8" s="22" t="n">
        <x:v>0.055</x:v>
      </x:c>
      <x:c r="J8" s="22" t="n">
        <x:v>0.05</x:v>
      </x:c>
      <x:c r="K8" s="22" t="n">
        <x:v>0.05</x:v>
      </x:c>
      <x:c r="L8" s="22" t="n">
        <x:v>0.05</x:v>
      </x:c>
    </x:row>
    <x:row r="9">
      <x:c r="A9" t="str">
        <x:v>D&amp;A</x:v>
      </x:c>
      <x:c r="B9" s="32" t="n">
        <x:f>B4*B8</x:f>
        <x:v>100</x:v>
      </x:c>
      <x:c r="C9" s="32" t="n">
        <x:f>C4*C8</x:f>
        <x:v>500</x:v>
      </x:c>
      <x:c r="D9" s="32" t="n">
        <x:f>D4*D8</x:f>
        <x:v>1500</x:v>
      </x:c>
      <x:c r="E9" s="32" t="n">
        <x:f>E4*E8</x:f>
        <x:v>2700</x:v>
      </x:c>
      <x:c r="F9" s="32" t="n">
        <x:f>F4*F8</x:f>
        <x:v>4000.08</x:v>
      </x:c>
      <x:c r="G9" s="32" t="n">
        <x:f>G4*G8</x:f>
        <x:v>4900.098</x:v>
      </x:c>
      <x:c r="H9" s="32" t="n">
        <x:f>H4*H8</x:f>
        <x:v>5400.0479988</x:v>
      </x:c>
      <x:c r="I9" s="32" t="n">
        <x:f>I4*I8</x:f>
        <x:v>6049.943775455579</x:v>
      </x:c>
      <x:c r="J9" s="32" t="n">
        <x:f>J4*J8</x:f>
        <x:v>6499.839594394004</x:v>
      </x:c>
      <x:c r="K9" s="32" t="n">
        <x:f>K4*K8</x:f>
        <x:v>7499.514924011802</x:v>
      </x:c>
      <x:c r="L9" s="32" t="n">
        <x:f>L4*L8</x:f>
        <x:v>8499.200263382574</x:v>
      </x:c>
    </x:row>
    <x:row r="10">
      <x:c r="A10" t="str">
        <x:v>EBIT</x:v>
      </x:c>
      <x:c r="B10" s="32" t="n">
        <x:f>B6-B9</x:f>
        <x:v>-200</x:v>
      </x:c>
      <x:c r="C10" s="32" t="n">
        <x:f>C6-C9</x:f>
        <x:v>-1000</x:v>
      </x:c>
      <x:c r="D10" s="32" t="n">
        <x:f>D6-D9</x:f>
        <x:v>-750</x:v>
      </x:c>
      <x:c r="E10" s="32" t="n">
        <x:f>E6-E9</x:f>
        <x:v>900</x:v>
      </x:c>
      <x:c r="F10" s="32" t="n">
        <x:f>F6-F9</x:f>
        <x:v>5000.1</x:v>
      </x:c>
      <x:c r="G10" s="32" t="n">
        <x:f>G6-G9</x:f>
        <x:v>10500.21</x:v>
      </x:c>
      <x:c r="H10" s="32" t="n">
        <x:f>H6-H9</x:f>
        <x:v>16200.143996399998</x:v>
      </x:c>
      <x:c r="I10" s="32" t="n">
        <x:f>I6-I9</x:f>
        <x:v>21449.800658433418</x:v>
      </x:c>
      <x:c r="J10" s="32" t="n">
        <x:f>J6-J9</x:f>
        <x:v>27299.326296454812</x:v>
      </x:c>
      <x:c r="K10" s="32" t="n">
        <x:f>K6-K9</x:f>
        <x:v>32997.86566565192</x:v>
      </x:c>
      <x:c r="L10" s="32" t="n">
        <x:f>L6-L9</x:f>
        <x:v>39096.32121155984</x:v>
      </x:c>
    </x:row>
    <x:row r="11">
      <x:c r="A11" t="str">
        <x:v>Cash tax rate</x:v>
      </x:c>
      <x:c r="B11" s="44" t="n">
        <x:f>'Global Inputs'!$B$10</x:f>
        <x:v>0.25</x:v>
      </x:c>
      <x:c r="C11" s="44" t="n">
        <x:f>'Global Inputs'!$B$10</x:f>
        <x:v>0.25</x:v>
      </x:c>
      <x:c r="D11" s="44" t="n">
        <x:f>'Global Inputs'!$B$10</x:f>
        <x:v>0.25</x:v>
      </x:c>
      <x:c r="E11" s="44" t="n">
        <x:f>'Global Inputs'!$B$10</x:f>
        <x:v>0.25</x:v>
      </x:c>
      <x:c r="F11" s="44" t="n">
        <x:f>'Global Inputs'!$B$10</x:f>
        <x:v>0.25</x:v>
      </x:c>
      <x:c r="G11" s="44" t="n">
        <x:f>'Global Inputs'!$B$10</x:f>
        <x:v>0.25</x:v>
      </x:c>
      <x:c r="H11" s="44" t="n">
        <x:f>'Global Inputs'!$B$10</x:f>
        <x:v>0.25</x:v>
      </x:c>
      <x:c r="I11" s="44" t="n">
        <x:f>'Global Inputs'!$B$10</x:f>
        <x:v>0.25</x:v>
      </x:c>
      <x:c r="J11" s="44" t="n">
        <x:f>'Global Inputs'!$B$10</x:f>
        <x:v>0.25</x:v>
      </x:c>
      <x:c r="K11" s="44" t="n">
        <x:f>'Global Inputs'!$B$10</x:f>
        <x:v>0.25</x:v>
      </x:c>
      <x:c r="L11" s="44" t="n">
        <x:f>'Global Inputs'!$B$10</x:f>
        <x:v>0.25</x:v>
      </x:c>
    </x:row>
    <x:row r="12">
      <x:c r="A12" t="str">
        <x:v>Cash taxes</x:v>
      </x:c>
      <x:c r="B12" s="32" t="n">
        <x:f>MAX(0,B10*B11)</x:f>
        <x:v>0</x:v>
      </x:c>
      <x:c r="C12" s="32" t="n">
        <x:f>MAX(0,C10*C11)</x:f>
        <x:v>0</x:v>
      </x:c>
      <x:c r="D12" s="32" t="n">
        <x:f>MAX(0,D10*D11)</x:f>
        <x:v>0</x:v>
      </x:c>
      <x:c r="E12" s="32" t="n">
        <x:f>MAX(0,E10*E11)</x:f>
        <x:v>225</x:v>
      </x:c>
      <x:c r="F12" s="32" t="n">
        <x:f>MAX(0,F10*F11)</x:f>
        <x:v>1250.025</x:v>
      </x:c>
      <x:c r="G12" s="32" t="n">
        <x:f>MAX(0,G10*G11)</x:f>
        <x:v>2625.0525</x:v>
      </x:c>
      <x:c r="H12" s="32" t="n">
        <x:f>MAX(0,H10*H11)</x:f>
        <x:v>4050.0359990999996</x:v>
      </x:c>
      <x:c r="I12" s="32" t="n">
        <x:f>MAX(0,I10*I11)</x:f>
        <x:v>5362.4501646083545</x:v>
      </x:c>
      <x:c r="J12" s="32" t="n">
        <x:f>MAX(0,J10*J11)</x:f>
        <x:v>6824.831574113703</x:v>
      </x:c>
      <x:c r="K12" s="32" t="n">
        <x:f>MAX(0,K10*K11)</x:f>
        <x:v>8249.46641641298</x:v>
      </x:c>
      <x:c r="L12" s="32" t="n">
        <x:f>MAX(0,L10*L11)</x:f>
        <x:v>9774.08030288996</x:v>
      </x:c>
    </x:row>
    <x:row r="13">
      <x:c r="A13" t="str">
        <x:v>NOPAT</x:v>
      </x:c>
      <x:c r="B13" s="32" t="n">
        <x:f>B10-B12</x:f>
        <x:v>-200</x:v>
      </x:c>
      <x:c r="C13" s="32" t="n">
        <x:f>C10-C12</x:f>
        <x:v>-1000</x:v>
      </x:c>
      <x:c r="D13" s="32" t="n">
        <x:f>D10-D12</x:f>
        <x:v>-750</x:v>
      </x:c>
      <x:c r="E13" s="32" t="n">
        <x:f>E10-E12</x:f>
        <x:v>675</x:v>
      </x:c>
      <x:c r="F13" s="32" t="n">
        <x:f>F10-F12</x:f>
        <x:v>3750.0750000000003</x:v>
      </x:c>
      <x:c r="G13" s="32" t="n">
        <x:f>G10-G12</x:f>
        <x:v>7875.157499999999</x:v>
      </x:c>
      <x:c r="H13" s="32" t="n">
        <x:f>H10-H12</x:f>
        <x:v>12150.107997299998</x:v>
      </x:c>
      <x:c r="I13" s="32" t="n">
        <x:f>I10-I12</x:f>
        <x:v>16087.350493825063</x:v>
      </x:c>
      <x:c r="J13" s="32" t="n">
        <x:f>J10-J12</x:f>
        <x:v>20474.494722341107</x:v>
      </x:c>
      <x:c r="K13" s="32" t="n">
        <x:f>K10-K12</x:f>
        <x:v>24748.399249238944</x:v>
      </x:c>
      <x:c r="L13" s="32" t="n">
        <x:f>L10-L12</x:f>
        <x:v>29322.240908669883</x:v>
      </x:c>
    </x:row>
    <x:row r="14">
      <x:c r="A14" t="str">
        <x:v>Capex % revenue</x:v>
      </x:c>
      <x:c r="B14" s="34" t="n">
        <x:v>6</x:v>
      </x:c>
      <x:c r="C14" s="22" t="n">
        <x:v>6</x:v>
      </x:c>
      <x:c r="D14" s="22" t="n">
        <x:v>1.6667</x:v>
      </x:c>
      <x:c r="E14" s="22" t="n">
        <x:v>0.6667</x:v>
      </x:c>
      <x:c r="F14" s="22" t="n">
        <x:v>0.3</x:v>
      </x:c>
      <x:c r="G14" s="22" t="n">
        <x:v>0.1429</x:v>
      </x:c>
      <x:c r="H14" s="22" t="n">
        <x:v>0.1</x:v>
      </x:c>
      <x:c r="I14" s="22" t="n">
        <x:v>0.0773</x:v>
      </x:c>
      <x:c r="J14" s="22" t="n">
        <x:v>0.0615</x:v>
      </x:c>
      <x:c r="K14" s="22" t="n">
        <x:v>0.05</x:v>
      </x:c>
      <x:c r="L14" s="22" t="n">
        <x:v>0.0412</x:v>
      </x:c>
    </x:row>
    <x:row r="15">
      <x:c r="A15" t="str">
        <x:v>Capex</x:v>
      </x:c>
      <x:c r="B15" s="32" t="n">
        <x:f>B4*B14</x:f>
        <x:v>6000</x:v>
      </x:c>
      <x:c r="C15" s="32" t="n">
        <x:f>C4*C14</x:f>
        <x:v>30000</x:v>
      </x:c>
      <x:c r="D15" s="32" t="n">
        <x:f>D4*D14</x:f>
        <x:v>25000.5</x:v>
      </x:c>
      <x:c r="E15" s="32" t="n">
        <x:f>E4*E14</x:f>
        <x:v>20001</x:v>
      </x:c>
      <x:c r="F15" s="32" t="n">
        <x:f>F4*F14</x:f>
        <x:v>15000.3</x:v>
      </x:c>
      <x:c r="G15" s="32" t="n">
        <x:f>G4*G14</x:f>
        <x:v>10003.20006</x:v>
      </x:c>
      <x:c r="H15" s="32" t="n">
        <x:f>H4*H14</x:f>
        <x:v>9000.079998</x:v>
      </x:c>
      <x:c r="I15" s="32" t="n">
        <x:f>I4*I14</x:f>
        <x:v>8502.920978958478</x:v>
      </x:c>
      <x:c r="J15" s="32" t="n">
        <x:f>J4*J14</x:f>
        <x:v>7994.802701104624</x:v>
      </x:c>
      <x:c r="K15" s="32" t="n">
        <x:f>K4*K14</x:f>
        <x:v>7499.514924011802</x:v>
      </x:c>
      <x:c r="L15" s="32" t="n">
        <x:f>L4*L14</x:f>
        <x:v>7003.341017027242</x:v>
      </x:c>
    </x:row>
    <x:row r="16">
      <x:c r="A16" t="str">
        <x:v>NWC % revenue</x:v>
      </x:c>
      <x:c r="B16" s="22" t="n">
        <x:v>0.05</x:v>
      </x:c>
      <x:c r="C16" s="22" t="n">
        <x:v>0.05</x:v>
      </x:c>
      <x:c r="D16" s="22" t="n">
        <x:v>0.05</x:v>
      </x:c>
      <x:c r="E16" s="22" t="n">
        <x:v>0.05</x:v>
      </x:c>
      <x:c r="F16" s="22" t="n">
        <x:v>0.05</x:v>
      </x:c>
      <x:c r="G16" s="22" t="n">
        <x:v>0.05</x:v>
      </x:c>
      <x:c r="H16" s="22" t="n">
        <x:v>0.05</x:v>
      </x:c>
      <x:c r="I16" s="22" t="n">
        <x:v>0.05</x:v>
      </x:c>
      <x:c r="J16" s="22" t="n">
        <x:v>0.05</x:v>
      </x:c>
      <x:c r="K16" s="22" t="n">
        <x:v>0.05</x:v>
      </x:c>
      <x:c r="L16" s="22" t="n">
        <x:v>0.05</x:v>
      </x:c>
    </x:row>
    <x:row r="17">
      <x:c r="A17" t="str">
        <x:v>Change in NWC</x:v>
      </x:c>
      <x:c r="B17" s="32" t="n">
        <x:v>0</x:v>
      </x:c>
      <x:c r="C17" s="32" t="n">
        <x:f>(C4-B4)*C16</x:f>
        <x:v>200</x:v>
      </x:c>
      <x:c r="D17" s="32" t="n">
        <x:f>(D4-C4)*D16</x:f>
        <x:v>500</x:v>
      </x:c>
      <x:c r="E17" s="32" t="n">
        <x:f>(E4-D4)*E16</x:f>
        <x:v>750</x:v>
      </x:c>
      <x:c r="F17" s="32" t="n">
        <x:f>(F4-E4)*F16</x:f>
        <x:v>1000.0500000000001</x:v>
      </x:c>
      <x:c r="G17" s="32" t="n">
        <x:f>(G4-F4)*G16</x:f>
        <x:v>1000.0199999999998</x:v>
      </x:c>
      <x:c r="H17" s="32" t="n">
        <x:f>(H4-G4)*H16</x:f>
        <x:v>999.9699990000001</x:v>
      </x:c>
      <x:c r="I17" s="32" t="n">
        <x:f>(I4-H4)*I16</x:f>
        <x:v>999.9088877777999</x:v>
      </x:c>
      <x:c r="J17" s="32" t="n">
        <x:f>(J4-I4)*J16</x:f>
        <x:v>999.8907076162039</x:v>
      </x:c>
      <x:c r="K17" s="32" t="n">
        <x:f>(K4-J4)*K16</x:f>
        <x:v>999.6753296177981</x:v>
      </x:c>
      <x:c r="L17" s="32" t="n">
        <x:f>(L4-K4)*L16</x:f>
        <x:v>999.685339370773</x:v>
      </x:c>
    </x:row>
    <x:row r="18">
      <x:c r="A18" s="46" t="str">
        <x:v>FCFF</x:v>
      </x:c>
      <x:c r="B18" s="47" t="n">
        <x:f>B13+B9-B15-B17</x:f>
        <x:v>-6100</x:v>
      </x:c>
      <x:c r="C18" s="47" t="n">
        <x:f>C13+C9-C15-C17</x:f>
        <x:v>-30700</x:v>
      </x:c>
      <x:c r="D18" s="47" t="n">
        <x:f>D13+D9-D15-D17</x:f>
        <x:v>-24750.5</x:v>
      </x:c>
      <x:c r="E18" s="47" t="n">
        <x:f>E13+E9-E15-E17</x:f>
        <x:v>-17376</x:v>
      </x:c>
      <x:c r="F18" s="47" t="n">
        <x:f>F13+F9-F15-F17</x:f>
        <x:v>-8250.194999999998</x:v>
      </x:c>
      <x:c r="G18" s="47" t="n">
        <x:f>G13+G9-G15-G17</x:f>
        <x:v>1772.0354400000003</x:v>
      </x:c>
      <x:c r="H18" s="47" t="n">
        <x:f>H13+H9-H15-H17</x:f>
        <x:v>7550.105999099999</x:v>
      </x:c>
      <x:c r="I18" s="47" t="n">
        <x:f>I13+I9-I15-I17</x:f>
        <x:v>12634.464402544365</x:v>
      </x:c>
      <x:c r="J18" s="47" t="n">
        <x:f>J13+J9-J15-J17</x:f>
        <x:v>17979.640908014284</x:v>
      </x:c>
      <x:c r="K18" s="47" t="n">
        <x:f>K13+K9-K15-K17</x:f>
        <x:v>23748.723919621145</x:v>
      </x:c>
      <x:c r="L18" s="47" t="n">
        <x:f>L13+L9-L15-L17</x:f>
        <x:v>29818.414815654447</x:v>
      </x:c>
    </x:row>
    <x:row r="19">
      <x:c r="A19" t="str">
        <x:v>Discount factor</x:v>
      </x:c>
      <x:c r="B19" s="36" t="n">
        <x:v>1</x:v>
      </x:c>
      <x:c r="C19" s="36" t="n">
        <x:f>1/(1+$B$23)^1</x:f>
        <x:v>0.9009009009009008</x:v>
      </x:c>
      <x:c r="D19" s="36" t="n">
        <x:f>1/(1+$B$23)^2</x:f>
        <x:v>0.8116224332440547</x:v>
      </x:c>
      <x:c r="E19" s="36" t="n">
        <x:f>1/(1+$B$23)^3</x:f>
        <x:v>0.7311913813009502</x:v>
      </x:c>
      <x:c r="F19" s="36" t="n">
        <x:f>1/(1+$B$23)^4</x:f>
        <x:v>0.6587309741450001</x:v>
      </x:c>
      <x:c r="G19" s="36" t="n">
        <x:f>1/(1+$B$23)^5</x:f>
        <x:v>0.5934513280585586</x:v>
      </x:c>
      <x:c r="H19" s="36" t="n">
        <x:f>1/(1+$B$23)^6</x:f>
        <x:v>0.5346408360887915</x:v>
      </x:c>
      <x:c r="I19" s="36" t="n">
        <x:f>1/(1+$B$23)^7</x:f>
        <x:v>0.4816584108908032</x:v>
      </x:c>
      <x:c r="J19" s="36" t="n">
        <x:f>1/(1+$B$23)^8</x:f>
        <x:v>0.43392649629802077</x:v>
      </x:c>
      <x:c r="K19" s="36" t="n">
        <x:f>1/(1+$B$23)^9</x:f>
        <x:v>0.3909247714396583</x:v>
      </x:c>
      <x:c r="L19" s="36" t="n">
        <x:f>1/(1+$B$23)^10</x:f>
        <x:v>0.3521844787744669</x:v>
      </x:c>
    </x:row>
    <x:row r="20">
      <x:c r="A20" s="46" t="str">
        <x:v>PV of FCFF</x:v>
      </x:c>
      <x:c r="B20" s="47"/>
      <x:c r="C20" s="47" t="n">
        <x:f>C18*C19</x:f>
        <x:v>-27657.657657657655</x:v>
      </x:c>
      <x:c r="D20" s="47" t="n">
        <x:f>D18*D19</x:f>
        <x:v>-20088.061034006976</x:v>
      </x:c>
      <x:c r="E20" s="47" t="n">
        <x:f>E18*E19</x:f>
        <x:v>-12705.18144148531</x:v>
      </x:c>
      <x:c r="F20" s="47" t="n">
        <x:f>F18*F19</x:f>
        <x:v>-5434.658989236208</x:v>
      </x:c>
      <x:c r="G20" s="47" t="n">
        <x:f>G18*G19</x:f>
        <x:v>1051.6167852348324</x:v>
      </x:c>
      <x:c r="H20" s="47" t="n">
        <x:f>H18*H19</x:f>
        <x:v>4036.5949839178243</x:v>
      </x:c>
      <x:c r="I20" s="47" t="n">
        <x:f>I18*I19</x:f>
        <x:v>6085.49604658594</x:v>
      </x:c>
      <x:c r="J20" s="47" t="n">
        <x:f>J18*J19</x:f>
        <x:v>7801.842583911203</x:v>
      </x:c>
      <x:c r="K20" s="47" t="n">
        <x:f>K18*K19</x:f>
        <x:v>9283.964470261442</x:v>
      </x:c>
      <x:c r="L20" s="47" t="n">
        <x:f>L18*L19</x:f>
        <x:v>10501.582879732103</x:v>
      </x:c>
    </x:row>
    <x:row r="22">
      <x:c r="A22" s="30" t="str">
        <x:v>DCF Valuation</x:v>
      </x:c>
    </x:row>
    <x:row r="23">
      <x:c r="A23" t="str">
        <x:v>WACC</x:v>
      </x:c>
      <x:c r="B23" s="22" t="n">
        <x:v>0.11</x:v>
      </x:c>
      <x:c r="D23" t="str">
        <x:v>RIL-attributable EV</x:v>
      </x:c>
      <x:c r="E23" s="32" t="n">
        <x:f>B29*B25</x:f>
        <x:v>156653.23902256897</x:v>
      </x:c>
      <x:c r="M23" t="str">
        <x:v>WACC / terminal growth are analyst assumptions.</x:v>
      </x:c>
    </x:row>
    <x:row r="24">
      <x:c r="A24" t="str">
        <x:v>Terminal growth</x:v>
      </x:c>
      <x:c r="B24" s="22" t="n">
        <x:v>0.05</x:v>
      </x:c>
      <x:c r="D24" t="str">
        <x:v>Terminal value / EV</x:v>
      </x:c>
      <x:c r="E24" s="34" t="n">
        <x:f>B28/B29</x:f>
        <x:v>1.1731497002039966</x:v>
      </x:c>
    </x:row>
    <x:row r="25">
      <x:c r="A25" t="str">
        <x:v>Ownership attributable to RIL</x:v>
      </x:c>
      <x:c r="B25" s="22" t="n">
        <x:v>1</x:v>
      </x:c>
      <x:c r="D25" t="str">
        <x:v>FY36 EV / EBITDA</x:v>
      </x:c>
      <x:c r="E25" s="38" t="n">
        <x:f>B29/L6</x:f>
        <x:v>3.291344104823856</x:v>
      </x:c>
    </x:row>
    <x:row r="26">
      <x:c r="A26" t="str">
        <x:v>PV of forecast FCFF</x:v>
      </x:c>
      <x:c r="B26" s="32" t="n">
        <x:f>SUM(C20:L20)</x:f>
        <x:v>-27124.461372742822</x:v>
      </x:c>
    </x:row>
    <x:row r="27">
      <x:c r="A27" t="str">
        <x:v>Terminal value</x:v>
      </x:c>
      <x:c r="B27" s="32" t="n">
        <x:f>L18*(1+B24)/(B23-B24)</x:f>
        <x:v>521822.25927395286</x:v>
      </x:c>
    </x:row>
    <x:row r="28">
      <x:c r="A28" t="str">
        <x:v>PV of terminal value</x:v>
      </x:c>
      <x:c r="B28" s="32" t="n">
        <x:f>B27*L19</x:f>
        <x:v>183777.7003953118</x:v>
      </x:c>
    </x:row>
    <x:row r="29">
      <x:c r="A29" s="46" t="str">
        <x:v>Enterprise value</x:v>
      </x:c>
      <x:c r="B29" s="47" t="n">
        <x:f>B26+B28</x:f>
        <x:v>156653.23902256897</x:v>
      </x:c>
    </x:row>
  </x:sheetData>
  <x:mergeCells>
    <x:mergeCell ref="A1:M1"/>
    <x:mergeCell ref="A22:F2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32" hidden="0" customWidth="1"/>
  </x:cols>
  <x:sheetData>
    <x:row r="1" ht="24" customHeight="1">
      <x:c r="A1" s="8" t="str">
        <x:v>Reliance Industries — Sum-of-the-Parts Fair Value</x:v>
      </x:c>
    </x:row>
    <x:row r="3">
      <x:c r="A3" s="14" t="str">
        <x:v>Business</x:v>
      </x:c>
      <x:c r="B3" s="14" t="str">
        <x:v>DCF EV (₹ cr)</x:v>
      </x:c>
      <x:c r="C3" s="14" t="str">
        <x:v>RIL ownership</x:v>
      </x:c>
      <x:c r="D3" s="14" t="str">
        <x:v>RIL-attrib. EV (₹ cr)</x:v>
      </x:c>
      <x:c r="E3" s="14" t="str">
        <x:v>% of gross value</x:v>
      </x:c>
      <x:c r="F3" s="14" t="str">
        <x:v>Value / RIL share (₹)</x:v>
      </x:c>
      <x:c r="G3" s="14" t="str">
        <x:v>Model sheet</x:v>
      </x:c>
      <x:c r="H3" s="14" t="str">
        <x:v>Comment</x:v>
      </x:c>
    </x:row>
    <x:row r="4">
      <x:c r="A4" t="str">
        <x:v>Jio</x:v>
      </x:c>
      <x:c r="B4" s="52" t="n">
        <x:f>'Jio'!B29</x:f>
        <x:v>2039268.1802112653</x:v>
      </x:c>
      <x:c r="C4" s="44" t="n">
        <x:f>'Jio'!B25</x:f>
        <x:v>0.6643</x:v>
      </x:c>
      <x:c r="D4" s="52" t="n">
        <x:f>'Jio'!E23</x:f>
        <x:v>1354685.8521143436</x:v>
      </x:c>
      <x:c r="E4" s="44" t="n">
        <x:f>D4/D10</x:f>
        <x:v>0.5572148999127897</x:v>
      </x:c>
      <x:c r="F4" s="53" t="n">
        <x:f>D4/'Global Inputs'!$B$5</x:f>
        <x:v>1001.0630641962128</x:v>
      </x:c>
      <x:c r="G4" t="str">
        <x:v>Jio</x:v>
      </x:c>
      <x:c r="H4" t="str"/>
    </x:row>
    <x:row r="5">
      <x:c r="A5" t="str">
        <x:v>Retail</x:v>
      </x:c>
      <x:c r="B5" s="52" t="n">
        <x:f>'Retail'!B29</x:f>
        <x:v>452087.1885480888</x:v>
      </x:c>
      <x:c r="C5" s="44" t="n">
        <x:f>'Retail'!B25</x:f>
        <x:v>0.8356</x:v>
      </x:c>
      <x:c r="D5" s="52" t="n">
        <x:f>'Retail'!E23</x:f>
        <x:v>377764.05475078296</x:v>
      </x:c>
      <x:c r="E5" s="44" t="n">
        <x:f>D5/D10</x:f>
        <x:v>0.15538344895982575</x:v>
      </x:c>
      <x:c r="F5" s="53" t="n">
        <x:f>D5/'Global Inputs'!$B$5</x:f>
        <x:v>279.1537547998879</x:v>
      </x:c>
      <x:c r="G5" t="str">
        <x:v>Retail</x:v>
      </x:c>
      <x:c r="H5" t="str"/>
    </x:row>
    <x:row r="6">
      <x:c r="A6" t="str">
        <x:v>O2C</x:v>
      </x:c>
      <x:c r="B6" s="52" t="n">
        <x:f>'O2C'!B29</x:f>
        <x:v>342084.79680943536</x:v>
      </x:c>
      <x:c r="C6" s="44" t="n">
        <x:f>'O2C'!B25</x:f>
        <x:v>1</x:v>
      </x:c>
      <x:c r="D6" s="52" t="n">
        <x:f>'O2C'!E23</x:f>
        <x:v>342084.79680943536</x:v>
      </x:c>
      <x:c r="E6" s="44" t="n">
        <x:f>D6/D10</x:f>
        <x:v>0.14070771132536158</x:v>
      </x:c>
      <x:c r="F6" s="53" t="n">
        <x:f>D6/'Global Inputs'!$B$5</x:f>
        <x:v>252.78809428363877</x:v>
      </x:c>
      <x:c r="G6" t="str">
        <x:v>O2C</x:v>
      </x:c>
      <x:c r="H6" t="str"/>
    </x:row>
    <x:row r="7">
      <x:c r="A7" t="str">
        <x:v>Oil &amp; Gas</x:v>
      </x:c>
      <x:c r="B7" s="52" t="n">
        <x:f>'Oil_Gas'!B29</x:f>
        <x:v>121817.57830018076</x:v>
      </x:c>
      <x:c r="C7" s="44" t="n">
        <x:f>'Oil_Gas'!B25</x:f>
        <x:v>1</x:v>
      </x:c>
      <x:c r="D7" s="52" t="n">
        <x:f>'Oil_Gas'!E23</x:f>
        <x:v>121817.57830018076</x:v>
      </x:c>
      <x:c r="E7" s="44" t="n">
        <x:f>D7/D10</x:f>
        <x:v>0.05010650225232019</x:v>
      </x:c>
      <x:c r="F7" s="53" t="n">
        <x:f>D7/'Global Inputs'!$B$5</x:f>
        <x:v>90.01871394449904</x:v>
      </x:c>
      <x:c r="G7" t="str">
        <x:v>Oil_Gas</x:v>
      </x:c>
      <x:c r="H7" t="str"/>
    </x:row>
    <x:row r="8">
      <x:c r="A8" t="str">
        <x:v>Media</x:v>
      </x:c>
      <x:c r="B8" s="52" t="n">
        <x:f>'Media'!B29</x:f>
        <x:v>123761.14135121493</x:v>
      </x:c>
      <x:c r="C8" s="44" t="n">
        <x:f>'Media'!B25</x:f>
        <x:v>0.6316</x:v>
      </x:c>
      <x:c r="D8" s="52" t="n">
        <x:f>'Media'!E23</x:f>
        <x:v>78167.53687742735</x:v>
      </x:c>
      <x:c r="E8" s="44" t="n">
        <x:f>D8/D10</x:f>
        <x:v>0.03215218950548883</x:v>
      </x:c>
      <x:c r="F8" s="53" t="n">
        <x:f>D8/'Global Inputs'!$B$5</x:f>
        <x:v>57.76293733713776</x:v>
      </x:c>
      <x:c r="G8" t="str">
        <x:v>Media</x:v>
      </x:c>
      <x:c r="H8" t="str"/>
    </x:row>
    <x:row r="9">
      <x:c r="A9" t="str">
        <x:v>New Energy</x:v>
      </x:c>
      <x:c r="B9" s="52" t="n">
        <x:f>'New_Energy'!B29</x:f>
        <x:v>156653.23902256897</x:v>
      </x:c>
      <x:c r="C9" s="44" t="n">
        <x:f>'New_Energy'!B25</x:f>
        <x:v>1</x:v>
      </x:c>
      <x:c r="D9" s="52" t="n">
        <x:f>'New_Energy'!E23</x:f>
        <x:v>156653.23902256897</x:v>
      </x:c>
      <x:c r="E9" s="44" t="n">
        <x:f>D9/D10</x:f>
        <x:v>0.06443524804421398</x:v>
      </x:c>
      <x:c r="F9" s="53" t="n">
        <x:f>D9/'Global Inputs'!$B$5</x:f>
        <x:v>115.76098711552655</x:v>
      </x:c>
      <x:c r="G9" t="str">
        <x:v>New_Energy</x:v>
      </x:c>
      <x:c r="H9" t="str">
        <x:v>High uncertainty / ramp case</x:v>
      </x:c>
    </x:row>
    <x:row r="10">
      <x:c r="A10" s="46" t="str">
        <x:v>Gross RIL-attributable business value</x:v>
      </x:c>
      <x:c r="B10" s="58"/>
      <x:c r="C10" s="58"/>
      <x:c r="D10" s="58" t="n">
        <x:f>SUM(D4:D9)</x:f>
        <x:v>2431173.0578747387</x:v>
      </x:c>
      <x:c r="E10" s="54"/>
      <x:c r="F10" s="54"/>
    </x:row>
    <x:row r="11">
      <x:c r="A11" t="str">
        <x:v>Less: Net debt</x:v>
      </x:c>
      <x:c r="B11" s="52"/>
      <x:c r="C11" s="52"/>
      <x:c r="D11" s="52" t="n">
        <x:f>-'Global Inputs'!$B$6</x:f>
        <x:v>-124717</x:v>
      </x:c>
      <x:c r="E11" s="54"/>
      <x:c r="F11" s="54"/>
    </x:row>
    <x:row r="12">
      <x:c r="A12" t="str">
        <x:v>Equity value before holdco discount</x:v>
      </x:c>
      <x:c r="B12" s="52"/>
      <x:c r="C12" s="52"/>
      <x:c r="D12" s="52" t="n">
        <x:f>D10+D11</x:f>
        <x:v>2306456.0578747387</x:v>
      </x:c>
      <x:c r="E12" s="54"/>
      <x:c r="F12" s="54"/>
    </x:row>
    <x:row r="13">
      <x:c r="A13" t="str">
        <x:v>Holdco / complexity discount</x:v>
      </x:c>
      <x:c r="B13" s="52"/>
      <x:c r="C13" s="44" t="n">
        <x:f>'Global Inputs'!$B$7</x:f>
        <x:v>0.075</x:v>
      </x:c>
      <x:c r="D13" s="52" t="n">
        <x:f>-D12*C13</x:f>
        <x:v>-172984.20434060539</x:v>
      </x:c>
      <x:c r="E13" s="54"/>
      <x:c r="F13" s="54"/>
    </x:row>
    <x:row r="14">
      <x:c r="A14" s="46" t="str">
        <x:v>Equity fair value</x:v>
      </x:c>
      <x:c r="B14" s="58"/>
      <x:c r="C14" s="58"/>
      <x:c r="D14" s="58" t="n">
        <x:f>D12+D13</x:f>
        <x:v>2133471.853534133</x:v>
      </x:c>
      <x:c r="E14" s="54"/>
      <x:c r="F14" s="54"/>
    </x:row>
    <x:row r="15">
      <x:c r="A15" t="str">
        <x:v>Shares outstanding (cr)</x:v>
      </x:c>
      <x:c r="B15" s="52"/>
      <x:c r="C15" s="52"/>
      <x:c r="D15" s="52" t="n">
        <x:f>'Global Inputs'!$B$5</x:f>
        <x:v>1353.2472634</x:v>
      </x:c>
      <x:c r="E15" s="54"/>
      <x:c r="F15" s="54"/>
    </x:row>
    <x:row r="16">
      <x:c r="A16" s="66" t="str">
        <x:v>Fair value / share</x:v>
      </x:c>
      <x:c r="B16" s="67"/>
      <x:c r="C16" s="67"/>
      <x:c r="D16" s="68" t="n">
        <x:f>D14/D15</x:f>
        <x:v>1576.5573012679429</x:v>
      </x:c>
      <x:c r="E16" s="54"/>
      <x:c r="F16" s="54"/>
    </x:row>
    <x:row r="17">
      <x:c r="A17" t="str">
        <x:v>Current price</x:v>
      </x:c>
      <x:c r="B17" s="52"/>
      <x:c r="C17" s="52"/>
      <x:c r="D17" s="53" t="n">
        <x:f>'Global Inputs'!$B$4</x:f>
        <x:v>1219.3</x:v>
      </x:c>
      <x:c r="E17" s="54"/>
      <x:c r="F17" s="54"/>
    </x:row>
    <x:row r="18">
      <x:c r="A18" s="60" t="str">
        <x:v>Upside / (downside) to fair value</x:v>
      </x:c>
      <x:c r="B18" s="61"/>
      <x:c r="C18" s="61"/>
      <x:c r="D18" s="72" t="n">
        <x:f>D16/D17-1</x:f>
        <x:v>0.29300196938238576</x:v>
      </x:c>
      <x:c r="E18" s="54"/>
      <x:c r="F18" s="54"/>
    </x:row>
    <x:row r="19">
      <x:c r="B19" s="52"/>
      <x:c r="C19" s="52"/>
      <x:c r="D19" s="52"/>
      <x:c r="E19" s="54"/>
      <x:c r="F19" s="54"/>
    </x:row>
    <x:row r="20">
      <x:c r="B20" s="52"/>
      <x:c r="C20" s="52"/>
      <x:c r="D20" s="52"/>
      <x:c r="E20" s="54"/>
      <x:c r="F20" s="54"/>
    </x:row>
  </x:sheetData>
  <x:mergeCells>
    <x:mergeCell ref="A1:H1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24" customHeight="1">
      <x:c r="A1" s="8" t="str">
        <x:v>Reliance — Monthly Price vs Linear Fair-Value Anchor</x:v>
      </x:c>
    </x:row>
    <x:row r="3">
      <x:c r="A3" s="14" t="str">
        <x:v>Month</x:v>
      </x:c>
      <x:c r="B3" s="14" t="str">
        <x:v>Market price (₹)</x:v>
      </x:c>
      <x:c r="C3" s="14" t="str">
        <x:v>Model fair value anchor (₹)</x:v>
      </x:c>
      <x:c r="D3" s="14" t="str">
        <x:v>Price / FV - 1</x:v>
      </x:c>
      <x:c r="E3" s="14" t="str">
        <x:v>Rolling σ of gap</x:v>
      </x:c>
      <x:c r="F3" s="14" t="str">
        <x:v>-1σ buy band</x:v>
      </x:c>
      <x:c r="G3" s="14" t="str">
        <x:v>Fair value</x:v>
      </x:c>
      <x:c r="H3" s="14" t="str">
        <x:v>+1σ trim band</x:v>
      </x:c>
    </x:row>
    <x:row r="4">
      <x:c r="A4" t="str">
        <x:v>Nov-24</x:v>
      </x:c>
      <x:c r="B4" s="74" t="n">
        <x:v>1292.2</x:v>
      </x:c>
      <x:c r="C4" s="53" t="n">
        <x:f>'SOTP'!$D$16/(1+'Global Inputs'!$B$8)^(22/12)</x:f>
        <x:v>1369.092763973847</x:v>
      </x:c>
      <x:c r="D4" s="44" t="n">
        <x:f>B4/C4-1</x:f>
        <x:v>-0.056163297328854944</x:v>
      </x:c>
      <x:c r="E4" s="44" t="e">
        <x:f>MAX(STDEV.S($D$4:D4),'Global Inputs'!$B$9)</x:f>
        <x:v>#NUM!</x:v>
      </x:c>
      <x:c r="F4" s="53" t="e">
        <x:f>C4*(1-E4)</x:f>
        <x:v>#NUM!</x:v>
      </x:c>
      <x:c r="G4" s="53" t="n">
        <x:f>C4</x:f>
        <x:v>1369.092763973847</x:v>
      </x:c>
      <x:c r="H4" s="53" t="e">
        <x:f>C4*(1+E4)</x:f>
        <x:v>#NUM!</x:v>
      </x:c>
    </x:row>
    <x:row r="5">
      <x:c r="A5" t="str">
        <x:v>Dec-24</x:v>
      </x:c>
      <x:c r="B5" s="74" t="n">
        <x:v>1215.45</x:v>
      </x:c>
      <x:c r="C5" s="53" t="n">
        <x:f>'SOTP'!$D$16/(1+'Global Inputs'!$B$8)^(21/12)</x:f>
        <x:v>1377.9015480406426</x:v>
      </x:c>
      <x:c r="D5" s="44" t="n">
        <x:f>B5/C5-1</x:f>
        <x:v>-0.11789779050008797</x:v>
      </x:c>
      <x:c r="E5" s="44" t="n">
        <x:f>MAX(STDEV.S($D$4:D5),'Global Inputs'!$B$9)</x:f>
        <x:v>0.08</x:v>
      </x:c>
      <x:c r="F5" s="53" t="n">
        <x:f>C5*(1-E5)</x:f>
        <x:v>1267.6694241973912</x:v>
      </x:c>
      <x:c r="G5" s="53" t="n">
        <x:f>C5</x:f>
        <x:v>1377.9015480406426</x:v>
      </x:c>
      <x:c r="H5" s="53" t="n">
        <x:f>C5*(1+E5)</x:f>
        <x:v>1488.133671883894</x:v>
      </x:c>
    </x:row>
    <x:row r="6">
      <x:c r="A6" t="str">
        <x:v>Jan-25</x:v>
      </x:c>
      <x:c r="B6" s="74" t="n">
        <x:v>1265.1</x:v>
      </x:c>
      <x:c r="C6" s="53" t="n">
        <x:f>'SOTP'!$D$16/(1+'Global Inputs'!$B$8)^(20/12)</x:f>
        <x:v>1386.7670080893565</x:v>
      </x:c>
      <x:c r="D6" s="44" t="n">
        <x:f>B6/C6-1</x:f>
        <x:v>-0.08773428224037827</x:v>
      </x:c>
      <x:c r="E6" s="44" t="n">
        <x:f>MAX(STDEV.S($D$4:D6),'Global Inputs'!$B$9)</x:f>
        <x:v>0.08</x:v>
      </x:c>
      <x:c r="F6" s="53" t="n">
        <x:f>C6*(1-E6)</x:f>
        <x:v>1275.825647442208</x:v>
      </x:c>
      <x:c r="G6" s="53" t="n">
        <x:f>C6</x:f>
        <x:v>1386.7670080893565</x:v>
      </x:c>
      <x:c r="H6" s="53" t="n">
        <x:f>C6*(1+E6)</x:f>
        <x:v>1497.7083687365052</x:v>
      </x:c>
    </x:row>
    <x:row r="7">
      <x:c r="A7" t="str">
        <x:v>Feb-25</x:v>
      </x:c>
      <x:c r="B7" s="74" t="n">
        <x:v>1200.1</x:v>
      </x:c>
      <x:c r="C7" s="53" t="n">
        <x:f>'SOTP'!$D$16/(1+'Global Inputs'!$B$8)^(19/12)</x:f>
        <x:v>1395.6895087749629</x:v>
      </x:c>
      <x:c r="D7" s="44" t="n">
        <x:f>B7/C7-1</x:f>
        <x:v>-0.14013826681740804</x:v>
      </x:c>
      <x:c r="E7" s="44" t="n">
        <x:f>MAX(STDEV.S($D$4:D7),'Global Inputs'!$B$9)</x:f>
        <x:v>0.08</x:v>
      </x:c>
      <x:c r="F7" s="53" t="n">
        <x:f>C7*(1-E7)</x:f>
        <x:v>1284.034348072966</x:v>
      </x:c>
      <x:c r="G7" s="53" t="n">
        <x:f>C7</x:f>
        <x:v>1395.6895087749629</x:v>
      </x:c>
      <x:c r="H7" s="53" t="n">
        <x:f>C7*(1+E7)</x:f>
        <x:v>1507.34466947696</x:v>
      </x:c>
    </x:row>
    <x:row r="8">
      <x:c r="A8" t="str">
        <x:v>Mar-25</x:v>
      </x:c>
      <x:c r="B8" s="74" t="n">
        <x:v>1275.1</x:v>
      </x:c>
      <x:c r="C8" s="53" t="n">
        <x:f>'SOTP'!$D$16/(1+'Global Inputs'!$B$8)^(18/12)</x:f>
        <x:v>1404.6694170986368</x:v>
      </x:c>
      <x:c r="D8" s="44" t="n">
        <x:f>B8/C8-1</x:f>
        <x:v>-0.09224192932616437</x:v>
      </x:c>
      <x:c r="E8" s="44" t="n">
        <x:f>MAX(STDEV.S($D$4:D8),'Global Inputs'!$B$9)</x:f>
        <x:v>0.08</x:v>
      </x:c>
      <x:c r="F8" s="53" t="n">
        <x:f>C8*(1-E8)</x:f>
        <x:v>1292.2958637307459</x:v>
      </x:c>
      <x:c r="G8" s="53" t="n">
        <x:f>C8</x:f>
        <x:v>1404.6694170986368</x:v>
      </x:c>
      <x:c r="H8" s="53" t="n">
        <x:f>C8*(1+E8)</x:f>
        <x:v>1517.0429704665278</x:v>
      </x:c>
    </x:row>
    <x:row r="9">
      <x:c r="A9" t="str">
        <x:v>Apr-25</x:v>
      </x:c>
      <x:c r="B9" s="74" t="n">
        <x:v>1405</x:v>
      </x:c>
      <x:c r="C9" s="53" t="n">
        <x:f>'SOTP'!$D$16/(1+'Global Inputs'!$B$8)^(17/12)</x:f>
        <x:v>1413.7071024228503</x:v>
      </x:c>
      <x:c r="D9" s="44" t="n">
        <x:f>B9/C9-1</x:f>
        <x:v>-0.006159056856917422</x:v>
      </x:c>
      <x:c r="E9" s="44" t="n">
        <x:f>MAX(STDEV.S($D$4:D9),'Global Inputs'!$B$9)</x:f>
        <x:v>0.08</x:v>
      </x:c>
      <x:c r="F9" s="53" t="n">
        <x:f>C9*(1-E9)</x:f>
        <x:v>1300.6105342290223</x:v>
      </x:c>
      <x:c r="G9" s="53" t="n">
        <x:f>C9</x:f>
        <x:v>1413.7071024228503</x:v>
      </x:c>
      <x:c r="H9" s="53" t="n">
        <x:f>C9*(1+E9)</x:f>
        <x:v>1526.8036706166783</x:v>
      </x:c>
    </x:row>
    <x:row r="10">
      <x:c r="A10" t="str">
        <x:v>May-25</x:v>
      </x:c>
      <x:c r="B10" s="74" t="n">
        <x:v>1420.9</x:v>
      </x:c>
      <x:c r="C10" s="53" t="n">
        <x:f>'SOTP'!$D$16/(1+'Global Inputs'!$B$8)^(16/12)</x:f>
        <x:v>1422.802936486565</x:v>
      </x:c>
      <x:c r="D10" s="44" t="n">
        <x:f>B10/C10-1</x:f>
        <x:v>-0.0013374561141009655</x:v>
      </x:c>
      <x:c r="E10" s="44" t="n">
        <x:f>MAX(STDEV.S($D$4:D10),'Global Inputs'!$B$9)</x:f>
        <x:v>0.08</x:v>
      </x:c>
      <x:c r="F10" s="53" t="n">
        <x:f>C10*(1-E10)</x:f>
        <x:v>1308.9787015676397</x:v>
      </x:c>
      <x:c r="G10" s="53" t="n">
        <x:f>C10</x:f>
        <x:v>1422.802936486565</x:v>
      </x:c>
      <x:c r="H10" s="53" t="n">
        <x:f>C10*(1+E10)</x:f>
        <x:v>1536.6271714054901</x:v>
      </x:c>
    </x:row>
    <x:row r="11">
      <x:c r="A11" t="str">
        <x:v>Jun-25</x:v>
      </x:c>
      <x:c r="B11" s="74" t="n">
        <x:v>1500.6</x:v>
      </x:c>
      <x:c r="C11" s="53" t="n">
        <x:f>'SOTP'!$D$16/(1+'Global Inputs'!$B$8)^(15/12)</x:f>
        <x:v>1431.9572934205207</x:v>
      </x:c>
      <x:c r="D11" s="44" t="n">
        <x:f>B11/C11-1</x:f>
        <x:v>0.04793628056847421</x:v>
      </x:c>
      <x:c r="E11" s="44" t="n">
        <x:f>MAX(STDEV.S($D$4:D11),'Global Inputs'!$B$9)</x:f>
        <x:v>0.08</x:v>
      </x:c>
      <x:c r="F11" s="53" t="n">
        <x:f>C11*(1-E11)</x:f>
        <x:v>1317.400709946879</x:v>
      </x:c>
      <x:c r="G11" s="53" t="n">
        <x:f>C11</x:f>
        <x:v>1431.9572934205207</x:v>
      </x:c>
      <x:c r="H11" s="53" t="n">
        <x:f>C11*(1+E11)</x:f>
        <x:v>1546.5138768941624</x:v>
      </x:c>
    </x:row>
    <x:row r="12">
      <x:c r="A12" t="str">
        <x:v>Jul-25</x:v>
      </x:c>
      <x:c r="B12" s="74" t="n">
        <x:v>1390.2</x:v>
      </x:c>
      <x:c r="C12" s="53" t="n">
        <x:f>'SOTP'!$D$16/(1+'Global Inputs'!$B$8)^(14/12)</x:f>
        <x:v>1441.1705497626274</x:v>
      </x:c>
      <x:c r="D12" s="44" t="n">
        <x:f>B12/C12-1</x:f>
        <x:v>-0.03536746554460368</x:v>
      </x:c>
      <x:c r="E12" s="44" t="n">
        <x:f>MAX(STDEV.S($D$4:D12),'Global Inputs'!$B$9)</x:f>
        <x:v>0.08</x:v>
      </x:c>
      <x:c r="F12" s="53" t="n">
        <x:f>C12*(1-E12)</x:f>
        <x:v>1325.8769057816173</x:v>
      </x:c>
      <x:c r="G12" s="53" t="n">
        <x:f>C12</x:f>
        <x:v>1441.1705497626274</x:v>
      </x:c>
      <x:c r="H12" s="53" t="n">
        <x:f>C12*(1+E12)</x:f>
        <x:v>1556.4641937436377</x:v>
      </x:c>
    </x:row>
    <x:row r="13">
      <x:c r="A13" t="str">
        <x:v>Aug-25</x:v>
      </x:c>
      <x:c r="B13" s="74" t="n">
        <x:v>1357.2</x:v>
      </x:c>
      <x:c r="C13" s="53" t="n">
        <x:f>'SOTP'!$D$16/(1+'Global Inputs'!$B$8)^(13/12)</x:f>
        <x:v>1450.4430844734504</x:v>
      </x:c>
      <x:c r="D13" s="44" t="n">
        <x:f>B13/C13-1</x:f>
        <x:v>-0.0642859312934021</x:v>
      </x:c>
      <x:c r="E13" s="44" t="n">
        <x:f>MAX(STDEV.S($D$4:D13),'Global Inputs'!$B$9)</x:f>
        <x:v>0.08</x:v>
      </x:c>
      <x:c r="F13" s="53" t="n">
        <x:f>C13*(1-E13)</x:f>
        <x:v>1334.4076377155745</x:v>
      </x:c>
      <x:c r="G13" s="53" t="n">
        <x:f>C13</x:f>
        <x:v>1450.4430844734504</x:v>
      </x:c>
      <x:c r="H13" s="53" t="n">
        <x:f>C13*(1+E13)</x:f>
        <x:v>1566.4785312313265</x:v>
      </x:c>
    </x:row>
    <x:row r="14">
      <x:c r="A14" t="str">
        <x:v>Sep-25</x:v>
      </x:c>
      <x:c r="B14" s="74" t="n">
        <x:v>1364</x:v>
      </x:c>
      <x:c r="C14" s="53" t="n">
        <x:f>'SOTP'!$D$16/(1+'Global Inputs'!$B$8)^(12/12)</x:f>
        <x:v>1459.7752789517988</x:v>
      </x:c>
      <x:c r="D14" s="44" t="n">
        <x:f>B14/C14-1</x:f>
        <x:v>-0.0656096046650213</x:v>
      </x:c>
      <x:c r="E14" s="44" t="n">
        <x:f>MAX(STDEV.S($D$4:D14),'Global Inputs'!$B$9)</x:f>
        <x:v>0.08</x:v>
      </x:c>
      <x:c r="F14" s="53" t="n">
        <x:f>C14*(1-E14)</x:f>
        <x:v>1342.993256635655</x:v>
      </x:c>
      <x:c r="G14" s="53" t="n">
        <x:f>C14</x:f>
        <x:v>1459.7752789517988</x:v>
      </x:c>
      <x:c r="H14" s="53" t="n">
        <x:f>C14*(1+E14)</x:f>
        <x:v>1576.5573012679429</x:v>
      </x:c>
    </x:row>
    <x:row r="15">
      <x:c r="A15" t="str">
        <x:v>Oct-25</x:v>
      </x:c>
      <x:c r="B15" s="74" t="n">
        <x:v>1486.4</x:v>
      </x:c>
      <x:c r="C15" s="53" t="n">
        <x:f>'SOTP'!$D$16/(1+'Global Inputs'!$B$8)^(11/12)</x:f>
        <x:v>1469.1675170504136</x:v>
      </x:c>
      <x:c r="D15" s="44" t="n">
        <x:f>B15/C15-1</x:f>
        <x:v>0.011729420062446927</x:v>
      </x:c>
      <x:c r="E15" s="44" t="n">
        <x:f>MAX(STDEV.S($D$4:D15),'Global Inputs'!$B$9)</x:f>
        <x:v>0.08</x:v>
      </x:c>
      <x:c r="F15" s="53" t="n">
        <x:f>C15*(1-E15)</x:f>
        <x:v>1351.6341156863805</x:v>
      </x:c>
      <x:c r="G15" s="53" t="n">
        <x:f>C15</x:f>
        <x:v>1469.1675170504136</x:v>
      </x:c>
      <x:c r="H15" s="53" t="n">
        <x:f>C15*(1+E15)</x:f>
        <x:v>1586.7009184144467</x:v>
      </x:c>
    </x:row>
    <x:row r="16">
      <x:c r="A16" t="str">
        <x:v>Nov-25</x:v>
      </x:c>
      <x:c r="B16" s="74" t="n">
        <x:v>1567.5</x:v>
      </x:c>
      <x:c r="C16" s="53" t="n">
        <x:f>'SOTP'!$D$16/(1+'Global Inputs'!$B$8)^(10/12)</x:f>
        <x:v>1478.620185091755</x:v>
      </x:c>
      <x:c r="D16" s="44" t="n">
        <x:f>B16/C16-1</x:f>
        <x:v>0.06010996996008777</x:v>
      </x:c>
      <x:c r="E16" s="44" t="n">
        <x:f>MAX(STDEV.S($D$4:D16),'Global Inputs'!$B$9)</x:f>
        <x:v>0.08</x:v>
      </x:c>
      <x:c r="F16" s="53" t="n">
        <x:f>C16*(1-E16)</x:f>
        <x:v>1360.3305702844148</x:v>
      </x:c>
      <x:c r="G16" s="53" t="n">
        <x:f>C16</x:f>
        <x:v>1478.620185091755</x:v>
      </x:c>
      <x:c r="H16" s="53" t="n">
        <x:f>C16*(1+E16)</x:f>
        <x:v>1596.9097998990956</x:v>
      </x:c>
    </x:row>
    <x:row r="17">
      <x:c r="A17" t="str">
        <x:v>Dec-25</x:v>
      </x:c>
      <x:c r="B17" s="74" t="n">
        <x:v>1570.4</x:v>
      </x:c>
      <x:c r="C17" s="53" t="n">
        <x:f>'SOTP'!$D$16/(1+'Global Inputs'!$B$8)^(9/12)</x:f>
        <x:v>1488.133671883894</x:v>
      </x:c>
      <x:c r="D17" s="44" t="n">
        <x:f>B17/C17-1</x:f>
        <x:v>0.0552815447095969</x:v>
      </x:c>
      <x:c r="E17" s="44" t="n">
        <x:f>MAX(STDEV.S($D$4:D17),'Global Inputs'!$B$9)</x:f>
        <x:v>0.08</x:v>
      </x:c>
      <x:c r="F17" s="53" t="n">
        <x:f>C17*(1-E17)</x:f>
        <x:v>1369.0829781331827</x:v>
      </x:c>
      <x:c r="G17" s="53" t="n">
        <x:f>C17</x:f>
        <x:v>1488.133671883894</x:v>
      </x:c>
      <x:c r="H17" s="53" t="n">
        <x:f>C17*(1+E17)</x:f>
        <x:v>1607.1843656346057</x:v>
      </x:c>
    </x:row>
    <x:row r="18">
      <x:c r="A18" t="str">
        <x:v>Jan-26</x:v>
      </x:c>
      <x:c r="B18" s="74" t="n">
        <x:v>1395.4</x:v>
      </x:c>
      <x:c r="C18" s="53" t="n">
        <x:f>'SOTP'!$D$16/(1+'Global Inputs'!$B$8)^(8/12)</x:f>
        <x:v>1497.7083687365052</x:v>
      </x:c>
      <x:c r="D18" s="44" t="n">
        <x:f>B18/C18-1</x:f>
        <x:v>-0.06830993995367363</x:v>
      </x:c>
      <x:c r="E18" s="44" t="n">
        <x:f>MAX(STDEV.S($D$4:D18),'Global Inputs'!$B$9)</x:f>
        <x:v>0.08</x:v>
      </x:c>
      <x:c r="F18" s="53" t="n">
        <x:f>C18*(1-E18)</x:f>
        <x:v>1377.8916992375848</x:v>
      </x:c>
      <x:c r="G18" s="53" t="n">
        <x:f>C18</x:f>
        <x:v>1497.7083687365052</x:v>
      </x:c>
      <x:c r="H18" s="53" t="n">
        <x:f>C18*(1+E18)</x:f>
        <x:v>1617.5250382354257</x:v>
      </x:c>
    </x:row>
    <x:row r="19">
      <x:c r="A19" t="str">
        <x:v>Feb-26</x:v>
      </x:c>
      <x:c r="B19" s="74" t="n">
        <x:v>1393.9</x:v>
      </x:c>
      <x:c r="C19" s="53" t="n">
        <x:f>'SOTP'!$D$16/(1+'Global Inputs'!$B$8)^(7/12)</x:f>
        <x:v>1507.3446694769598</x:v>
      </x:c>
      <x:c r="D19" s="44" t="n">
        <x:f>B19/C19-1</x:f>
        <x:v>-0.07526126689811719</x:v>
      </x:c>
      <x:c r="E19" s="44" t="n">
        <x:f>MAX(STDEV.S($D$4:D19),'Global Inputs'!$B$9)</x:f>
        <x:v>0.08</x:v>
      </x:c>
      <x:c r="F19" s="53" t="n">
        <x:f>C19*(1-E19)</x:f>
        <x:v>1386.757095918803</x:v>
      </x:c>
      <x:c r="G19" s="53" t="n">
        <x:f>C19</x:f>
        <x:v>1507.3446694769598</x:v>
      </x:c>
      <x:c r="H19" s="53" t="n">
        <x:f>C19*(1+E19)</x:f>
        <x:v>1627.9322430351167</x:v>
      </x:c>
    </x:row>
    <x:row r="20">
      <x:c r="A20" t="str">
        <x:v>Mar-26</x:v>
      </x:c>
      <x:c r="B20" s="74" t="n">
        <x:v>1343.9</x:v>
      </x:c>
      <x:c r="C20" s="53" t="n">
        <x:f>'SOTP'!$D$16/(1+'Global Inputs'!$B$8)^(6/12)</x:f>
        <x:v>1517.0429704665278</x:v>
      </x:c>
      <x:c r="D20" s="44" t="n">
        <x:f>B20/C20-1</x:f>
        <x:v>-0.11413188277276154</x:v>
      </x:c>
      <x:c r="E20" s="44" t="n">
        <x:f>MAX(STDEV.S($D$4:D20),'Global Inputs'!$B$9)</x:f>
        <x:v>0.08</x:v>
      </x:c>
      <x:c r="F20" s="53" t="n">
        <x:f>C20*(1-E20)</x:f>
        <x:v>1395.6795328292055</x:v>
      </x:c>
      <x:c r="G20" s="53" t="n">
        <x:f>C20</x:f>
        <x:v>1517.0429704665278</x:v>
      </x:c>
      <x:c r="H20" s="53" t="n">
        <x:f>C20*(1+E20)</x:f>
        <x:v>1638.40640810385</x:v>
      </x:c>
    </x:row>
    <x:row r="21">
      <x:c r="A21" t="str">
        <x:v>Apr-26</x:v>
      </x:c>
      <x:c r="B21" s="74" t="n">
        <x:v>1430.8</x:v>
      </x:c>
      <x:c r="C21" s="53" t="n">
        <x:f>'SOTP'!$D$16/(1+'Global Inputs'!$B$8)^(5/12)</x:f>
        <x:v>1526.8036706166786</x:v>
      </x:c>
      <x:c r="D21" s="44" t="n">
        <x:f>B21/C21-1</x:f>
        <x:v>-0.06287885761887291</x:v>
      </x:c>
      <x:c r="E21" s="44" t="n">
        <x:f>MAX(STDEV.S($D$4:D21),'Global Inputs'!$B$9)</x:f>
        <x:v>0.08</x:v>
      </x:c>
      <x:c r="F21" s="53" t="n">
        <x:f>C21*(1-E21)</x:f>
        <x:v>1404.6593769673443</x:v>
      </x:c>
      <x:c r="G21" s="53" t="n">
        <x:f>C21</x:f>
        <x:v>1526.8036706166786</x:v>
      </x:c>
      <x:c r="H21" s="53" t="n">
        <x:f>C21*(1+E21)</x:f>
        <x:v>1648.947964266013</x:v>
      </x:c>
    </x:row>
    <x:row r="22">
      <x:c r="A22" t="str">
        <x:v>May-26</x:v>
      </x:c>
      <x:c r="B22" s="74" t="n">
        <x:v>1321.2</x:v>
      </x:c>
      <x:c r="C22" s="53" t="n">
        <x:f>'SOTP'!$D$16/(1+'Global Inputs'!$B$8)^(4/12)</x:f>
        <x:v>1536.6271714054901</x:v>
      </x:c>
      <x:c r="D22" s="44" t="n">
        <x:f>B22/C22-1</x:f>
        <x:v>-0.14019482110839399</x:v>
      </x:c>
      <x:c r="E22" s="44" t="n">
        <x:f>MAX(STDEV.S($D$4:D22),'Global Inputs'!$B$9)</x:f>
        <x:v>0.08</x:v>
      </x:c>
      <x:c r="F22" s="53" t="n">
        <x:f>C22*(1-E22)</x:f>
        <x:v>1413.696997693051</x:v>
      </x:c>
      <x:c r="G22" s="53" t="n">
        <x:f>C22</x:f>
        <x:v>1536.6271714054901</x:v>
      </x:c>
      <x:c r="H22" s="53" t="n">
        <x:f>C22*(1+E22)</x:f>
        <x:v>1659.5573451179293</x:v>
      </x:c>
    </x:row>
    <x:row r="23">
      <x:c r="A23" t="str">
        <x:v>Jun-26</x:v>
      </x:c>
      <x:c r="B23" s="74" t="n">
        <x:v>1293.9</x:v>
      </x:c>
      <x:c r="C23" s="53" t="n">
        <x:f>'SOTP'!$D$16/(1+'Global Inputs'!$B$8)^(3/12)</x:f>
        <x:v>1546.5138768941624</x:v>
      </x:c>
      <x:c r="D23" s="44" t="n">
        <x:f>B23/C23-1</x:f>
        <x:v>-0.16334407383494187</x:v>
      </x:c>
      <x:c r="E23" s="44" t="n">
        <x:f>MAX(STDEV.S($D$4:D23),'Global Inputs'!$B$9)</x:f>
        <x:v>0.08</x:v>
      </x:c>
      <x:c r="F23" s="53" t="n">
        <x:f>C23*(1-E23)</x:f>
        <x:v>1422.7927667426295</x:v>
      </x:c>
      <x:c r="G23" s="53" t="n">
        <x:f>C23</x:f>
        <x:v>1546.5138768941624</x:v>
      </x:c>
      <x:c r="H23" s="53" t="n">
        <x:f>C23*(1+E23)</x:f>
        <x:v>1670.2349870456956</x:v>
      </x:c>
    </x:row>
    <x:row r="24">
      <x:c r="A24" t="str">
        <x:v>Jul-26</x:v>
      </x:c>
      <x:c r="B24" s="74" t="n">
        <x:v>1307.8</x:v>
      </x:c>
      <x:c r="C24" s="53" t="n">
        <x:f>'SOTP'!$D$16/(1+'Global Inputs'!$B$8)^(2/12)</x:f>
        <x:v>1556.4641937436377</x:v>
      </x:c>
      <x:c r="D24" s="44" t="n">
        <x:f>B24/C24-1</x:f>
        <x:v>-0.15976223207907259</x:v>
      </x:c>
      <x:c r="E24" s="44" t="n">
        <x:f>MAX(STDEV.S($D$4:D24),'Global Inputs'!$B$9)</x:f>
        <x:v>0.08</x:v>
      </x:c>
      <x:c r="F24" s="53" t="n">
        <x:f>C24*(1-E24)</x:f>
        <x:v>1431.9470582441468</x:v>
      </x:c>
      <x:c r="G24" s="53" t="n">
        <x:f>C24</x:f>
        <x:v>1556.4641937436377</x:v>
      </x:c>
      <x:c r="H24" s="53" t="n">
        <x:f>C24*(1+E24)</x:f>
        <x:v>1680.9813292431288</x:v>
      </x:c>
    </x:row>
    <x:row r="25">
      <x:c r="A25" t="str">
        <x:v>Aug-26</x:v>
      </x:c>
      <x:c r="B25" s="74" t="n">
        <x:v>1277</x:v>
      </x:c>
      <x:c r="C25" s="53" t="n">
        <x:f>'SOTP'!$D$16/(1+'Global Inputs'!$B$8)^(1/12)</x:f>
        <x:v>1566.4785312313265</x:v>
      </x:c>
      <x:c r="D25" s="44" t="n">
        <x:f>B25/C25-1</x:f>
        <x:v>-0.18479572203506844</x:v>
      </x:c>
      <x:c r="E25" s="44" t="n">
        <x:f>MAX(STDEV.S($D$4:D25),'Global Inputs'!$B$9)</x:f>
        <x:v>0.08</x:v>
      </x:c>
      <x:c r="F25" s="53" t="n">
        <x:f>C25*(1-E25)</x:f>
        <x:v>1441.1602487328205</x:v>
      </x:c>
      <x:c r="G25" s="53" t="n">
        <x:f>C25</x:f>
        <x:v>1566.4785312313265</x:v>
      </x:c>
      <x:c r="H25" s="53" t="n">
        <x:f>C25*(1+E25)</x:f>
        <x:v>1691.7968137298328</x:v>
      </x:c>
    </x:row>
    <x:row r="26">
      <x:c r="A26" t="str">
        <x:v>Sep-26</x:v>
      </x:c>
      <x:c r="B26" s="74" t="n">
        <x:v>1219.3</x:v>
      </x:c>
      <x:c r="C26" s="53" t="n">
        <x:f>'SOTP'!$D$16/(1+'Global Inputs'!$B$8)^(0/12)</x:f>
        <x:v>1576.5573012679429</x:v>
      </x:c>
      <x:c r="D26" s="44" t="n">
        <x:f>B26/C26-1</x:f>
        <x:v>-0.2266059730151384</x:v>
      </x:c>
      <x:c r="E26" s="44" t="n">
        <x:f>MAX(STDEV.S($D$4:D26),'Global Inputs'!$B$9)</x:f>
        <x:v>0.08</x:v>
      </x:c>
      <x:c r="F26" s="53" t="n">
        <x:f>C26*(1-E26)</x:f>
        <x:v>1450.4327171665075</x:v>
      </x:c>
      <x:c r="G26" s="53" t="n">
        <x:f>C26</x:f>
        <x:v>1576.5573012679429</x:v>
      </x:c>
      <x:c r="H26" s="53" t="n">
        <x:f>C26*(1+E26)</x:f>
        <x:v>1702.6818853693785</x:v>
      </x:c>
    </x:row>
  </x:sheetData>
  <x:mergeCells>
    <x:mergeCell ref="A1:H1"/>
  </x:mergeCells>
  <x:conditionalFormatting sqref="D4:D26">
    <x:cfRule type="colorScale" priority="1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pageMargins left="0.7" right="0.7" top="0.75" bottom="0.75" header="0.3" footer="0.3"/>
  <x:drawing xmlns:r="http://schemas.openxmlformats.org/officeDocument/2006/relationships" r:id="R6054bdc0c877424a"/>
</x:worksheet>
</file>

<file path=xl/worksheets/sheet10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8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 ht="24" customHeight="1">
      <x:c r="A1" s="8" t="str">
        <x:v>Reliance — Fair Value Trading Bands</x:v>
      </x:c>
    </x:row>
    <x:row r="3">
      <x:c r="A3" s="14" t="str">
        <x:v>Metric</x:v>
      </x:c>
      <x:c r="B3" s="14" t="str">
        <x:v>Value</x:v>
      </x:c>
      <x:c r="D3" s="30" t="str">
        <x:v>Rule framework</x:v>
      </x:c>
    </x:row>
    <x:row r="4">
      <x:c r="A4" t="str">
        <x:v>Current market price</x:v>
      </x:c>
      <x:c r="B4" s="53" t="n">
        <x:f>'Global Inputs'!$B$4</x:f>
        <x:v>1219.3</x:v>
      </x:c>
      <x:c r="D4" s="80" t="str">
        <x:v>Zone</x:v>
      </x:c>
      <x:c r="E4" s="80" t="str">
        <x:v>Rule</x:v>
      </x:c>
      <x:c r="F4" s="80" t="str">
        <x:v>Interpretation</x:v>
      </x:c>
      <x:c r="G4" s="80" t="str">
        <x:v>Action framework</x:v>
      </x:c>
      <x:c r="H4" s="80" t="str">
        <x:v>Caveat</x:v>
      </x:c>
    </x:row>
    <x:row r="5">
      <x:c r="A5" t="str">
        <x:v>Current fair value</x:v>
      </x:c>
      <x:c r="B5" s="53" t="n">
        <x:f>'SOTP'!$D$16</x:f>
        <x:v>1576.5573012679429</x:v>
      </x:c>
      <x:c r="D5" s="82" t="str">
        <x:v>Deep discount</x:v>
      </x:c>
      <x:c r="E5" s="82" t="str">
        <x:v>Price &lt; FV - 2σ</x:v>
      </x:c>
      <x:c r="F5" s="82" t="str">
        <x:v>Market far below anchor</x:v>
      </x:c>
      <x:c r="G5" s="82" t="str">
        <x:v>High-priority re-underwrite / accumulate only if thesis intact</x:v>
      </x:c>
      <x:c r="H5" s="82" t="str">
        <x:v>Check whether FV should be cut first</x:v>
      </x:c>
    </x:row>
    <x:row r="6">
      <x:c r="A6" t="str">
        <x:v>Current σ of price/FV gap</x:v>
      </x:c>
      <x:c r="B6" s="44" t="n">
        <x:f>'Price History'!E26</x:f>
        <x:v>0.08</x:v>
      </x:c>
      <x:c r="D6" s="82" t="str">
        <x:v>Buy zone</x:v>
      </x:c>
      <x:c r="E6" s="82" t="str">
        <x:v>FV - 2σ to FV - 1σ</x:v>
      </x:c>
      <x:c r="F6" s="82" t="str">
        <x:v>Meaningful discount</x:v>
      </x:c>
      <x:c r="G6" s="82" t="str">
        <x:v>Add / initiate in tranches</x:v>
      </x:c>
      <x:c r="H6" s="82" t="str">
        <x:v>Requires no thesis break</x:v>
      </x:c>
    </x:row>
    <x:row r="7">
      <x:c r="A7" t="str">
        <x:v>-1σ buy band</x:v>
      </x:c>
      <x:c r="B7" s="53" t="n">
        <x:f>B5*(1-B6)</x:f>
        <x:v>1450.4327171665075</x:v>
      </x:c>
      <x:c r="D7" s="82" t="str">
        <x:v>Neutral</x:v>
      </x:c>
      <x:c r="E7" s="82" t="str">
        <x:v>FV - 1σ to FV + 1σ</x:v>
      </x:c>
      <x:c r="F7" s="82" t="str">
        <x:v>Within normal valuation noise</x:v>
      </x:c>
      <x:c r="G7" s="82" t="str">
        <x:v>Hold / wait</x:v>
      </x:c>
      <x:c r="H7" s="82" t="str">
        <x:v>Prefer catalyst or estimate revision</x:v>
      </x:c>
    </x:row>
    <x:row r="8">
      <x:c r="A8" t="str">
        <x:v>+1σ trim band</x:v>
      </x:c>
      <x:c r="B8" s="53" t="n">
        <x:f>B5*(1+B6)</x:f>
        <x:v>1702.6818853693785</x:v>
      </x:c>
      <x:c r="D8" s="82" t="str">
        <x:v>Trim zone</x:v>
      </x:c>
      <x:c r="E8" s="82" t="str">
        <x:v>FV + 1σ to FV + 2σ</x:v>
      </x:c>
      <x:c r="F8" s="82" t="str">
        <x:v>Meaningful premium</x:v>
      </x:c>
      <x:c r="G8" s="82" t="str">
        <x:v>Trim / hedge</x:v>
      </x:c>
      <x:c r="H8" s="82" t="str">
        <x:v>Do not fight positive revisions</x:v>
      </x:c>
    </x:row>
    <x:row r="9">
      <x:c r="A9" t="str">
        <x:v>Current deviation from FV</x:v>
      </x:c>
      <x:c r="B9" s="44" t="n">
        <x:f>B4/B5-1</x:f>
        <x:v>-0.2266059730151384</x:v>
      </x:c>
      <x:c r="D9" s="82" t="str">
        <x:v>Rich</x:v>
      </x:c>
      <x:c r="E9" s="82" t="str">
        <x:v>Price &gt; FV + 2σ</x:v>
      </x:c>
      <x:c r="F9" s="82" t="str">
        <x:v>Market far above anchor</x:v>
      </x:c>
      <x:c r="G9" s="82" t="str">
        <x:v>Aggressive trim / hedge</x:v>
      </x:c>
      <x:c r="H9" s="82" t="str">
        <x:v>Re-underwrite if growth accelerated</x:v>
      </x:c>
    </x:row>
    <x:row r="10">
      <x:c r="A10" t="str">
        <x:v>Current z-score vs FV</x:v>
      </x:c>
      <x:c r="B10" s="78" t="n">
        <x:f>B9/B6</x:f>
        <x:v>-2.83257466268923</x:v>
      </x:c>
    </x:row>
    <x:row r="13">
      <x:c r="A13" s="30" t="str">
        <x:v>Fair-value update discipline</x:v>
      </x:c>
    </x:row>
    <x:row r="14">
      <x:c r="A14" s="82" t="str">
        <x:v>Frequency</x:v>
      </x:c>
      <x:c r="B14" s="82" t="str">
        <x:v>What changes FV</x:v>
      </x:c>
      <x:c r="C14" s="82" t="str">
        <x:v>What should NOT change FV</x:v>
      </x:c>
      <x:c r="D14" s="82" t="str">
        <x:v>Practical rule</x:v>
      </x:c>
    </x:row>
    <x:row r="15">
      <x:c r="A15" s="82" t="str">
        <x:v>Monthly</x:v>
      </x:c>
      <x:c r="B15" s="82" t="str">
        <x:v>Only linear roll-forward at global rate</x:v>
      </x:c>
      <x:c r="C15" s="82" t="str">
        <x:v>Stock price / sentiment</x:v>
      </x:c>
      <x:c r="D15" s="82" t="str">
        <x:v>Let FV drift smoothly between earnings</x:v>
      </x:c>
    </x:row>
    <x:row r="16">
      <x:c r="A16" s="82" t="str">
        <x:v>Quarterly</x:v>
      </x:c>
      <x:c r="B16" s="82" t="str">
        <x:v>Actual segment KPIs, capex, net debt, justified WACC / terminal changes</x:v>
      </x:c>
      <x:c r="C16" s="82" t="str">
        <x:v>One-off price action</x:v>
      </x:c>
      <x:c r="D16" s="82" t="str">
        <x:v>Refresh each segment DCF after print</x:v>
      </x:c>
    </x:row>
    <x:row r="17">
      <x:c r="A17" s="82" t="str">
        <x:v>Event-driven</x:v>
      </x:c>
      <x:c r="B17" s="82" t="str">
        <x:v>Jio IPO terms, tariff reset, major new-energy commissioning, structural O2C change</x:v>
      </x:c>
      <x:c r="C17" s="82" t="str">
        <x:v>Technical chart signals</x:v>
      </x:c>
      <x:c r="D17" s="82" t="str">
        <x:v>Re-underwrite affected segment only</x:v>
      </x:c>
    </x:row>
    <x:row r="18">
      <x:c r="A18" s="82" t="str">
        <x:v>Annual</x:v>
      </x:c>
      <x:c r="B18" s="82" t="str">
        <x:v>Long-run growth / margin / capex fade curves</x:v>
      </x:c>
      <x:c r="C18" s="82" t="str">
        <x:v>Short-term noise</x:v>
      </x:c>
      <x:c r="D18" s="82" t="str">
        <x:v>Full rebuild / sanity-check SOTP</x:v>
      </x:c>
    </x:row>
  </x:sheetData>
  <x:mergeCells>
    <x:mergeCell ref="A1:H1"/>
    <x:mergeCell ref="D3:H3"/>
    <x:mergeCell ref="A13:H13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6" hidden="0" customWidth="1"/>
    <x:col min="3" max="3" width="36" hidden="0" customWidth="1"/>
    <x:col min="4" max="4" width="58" hidden="0" customWidth="1"/>
    <x:col min="5" max="5" width="18" hidden="0" customWidth="1"/>
  </x:cols>
  <x:sheetData>
    <x:row r="1" ht="24" customHeight="1">
      <x:c r="A1" s="84" t="str">
        <x:v>Source Ledger</x:v>
      </x:c>
      <x:c r="B1" s="82"/>
      <x:c r="C1" s="82"/>
      <x:c r="D1" s="82"/>
      <x:c r="E1" s="82"/>
    </x:row>
    <x:row r="3">
      <x:c r="A3" s="14" t="str">
        <x:v>Topic</x:v>
      </x:c>
      <x:c r="B3" s="14" t="str">
        <x:v>As of</x:v>
      </x:c>
      <x:c r="C3" s="14" t="str">
        <x:v>Value / use</x:v>
      </x:c>
      <x:c r="D3" s="14" t="str">
        <x:v>Source URL</x:v>
      </x:c>
      <x:c r="E3" s="14" t="str">
        <x:v>Source posture</x:v>
      </x:c>
    </x:row>
    <x:row r="4">
      <x:c r="A4" t="str">
        <x:v>FY26 consolidated / segments</x:v>
      </x:c>
      <x:c r="B4" t="str">
        <x:v>FY26</x:v>
      </x:c>
      <x:c r="C4" t="str">
        <x:v>Revenue, EBITDA, capex, balance-sheet baseline</x:v>
      </x:c>
      <x:c r="D4" t="str">
        <x:v>https://www.ril.com/ar2025-26/financial-performance-and-review.html</x:v>
      </x:c>
      <x:c r="E4" t="str">
        <x:v>reported</x:v>
      </x:c>
    </x:row>
    <x:row r="5">
      <x:c r="A5" t="str">
        <x:v>FY26 segment EBITDA</x:v>
      </x:c>
      <x:c r="B5" t="str">
        <x:v>FY26</x:v>
      </x:c>
      <x:c r="C5" t="str">
        <x:v>O2C, Oil &amp; Gas, Digital, Retail, Others</x:v>
      </x:c>
      <x:c r="D5" t="str">
        <x:v>https://www.ril.com/sites/default/files/2026-04/FY2025-26_RIL_Analyst_Meeting.pdf</x:v>
      </x:c>
      <x:c r="E5" t="str">
        <x:v>reported</x:v>
      </x:c>
    </x:row>
    <x:row r="6">
      <x:c r="A6" t="str">
        <x:v>Jio FY26</x:v>
      </x:c>
      <x:c r="B6" t="str">
        <x:v>FY26</x:v>
      </x:c>
      <x:c r="C6" t="str">
        <x:v>Revenue / EBITDA / margin baseline</x:v>
      </x:c>
      <x:c r="D6" t="str">
        <x:v>https://www.ril.com/investors/events-presentations</x:v>
      </x:c>
      <x:c r="E6" t="str">
        <x:v>reported</x:v>
      </x:c>
    </x:row>
    <x:row r="7">
      <x:c r="A7" t="str">
        <x:v>Retail ownership</x:v>
      </x:c>
      <x:c r="B7" t="str">
        <x:v>31-Mar-2026</x:v>
      </x:c>
      <x:c r="C7" t="str">
        <x:v>RIL owns 83.56%</x:v>
      </x:c>
      <x:c r="D7" t="str">
        <x:v>https://www.ril.com/sites/default/files/2026-05/Reliance_Retail_Ventures_Limited.pdf</x:v>
      </x:c>
      <x:c r="E7" t="str">
        <x:v>reported</x:v>
      </x:c>
    </x:row>
    <x:row r="8">
      <x:c r="A8" t="str">
        <x:v>Jio ownership</x:v>
      </x:c>
      <x:c r="B8" t="str">
        <x:v>FY26</x:v>
      </x:c>
      <x:c r="C8" t="str">
        <x:v>RIL owns 66.43%</x:v>
      </x:c>
      <x:c r="D8" t="str">
        <x:v>https://www.ril.com/sites/default/files/reports/BRSR202526.pdf</x:v>
      </x:c>
      <x:c r="E8" t="str">
        <x:v>reported</x:v>
      </x:c>
    </x:row>
    <x:row r="9">
      <x:c r="A9" t="str">
        <x:v>Media ownership</x:v>
      </x:c>
      <x:c r="B9" t="str">
        <x:v>FY26</x:v>
      </x:c>
      <x:c r="C9" t="str">
        <x:v>JioStar 63.16%</x:v>
      </x:c>
      <x:c r="D9" t="str">
        <x:v>https://www.ril.com/sites/default/files/reports/BRSR202526.pdf</x:v>
      </x:c>
      <x:c r="E9" t="str">
        <x:v>reported</x:v>
      </x:c>
    </x:row>
    <x:row r="10">
      <x:c r="A10" t="str">
        <x:v>Shares outstanding</x:v>
      </x:c>
      <x:c r="B10" t="str">
        <x:v>31-Mar-2026</x:v>
      </x:c>
      <x:c r="C10" t="str">
        <x:v>1,353.247 crore shares</x:v>
      </x:c>
      <x:c r="D10" t="str">
        <x:v>https://www.ril.com/ar2025-26/pdf/07_RIL_IAR_2025-26_Consolidated_22-05-26.pdf</x:v>
      </x:c>
      <x:c r="E10" t="str">
        <x:v>reported</x:v>
      </x:c>
    </x:row>
    <x:row r="11">
      <x:c r="A11" t="str">
        <x:v>Net debt</x:v>
      </x:c>
      <x:c r="B11" t="str">
        <x:v>31-Mar-2026</x:v>
      </x:c>
      <x:c r="C11" t="str">
        <x:v>₹124,717 crore</x:v>
      </x:c>
      <x:c r="D11" t="str">
        <x:v>https://www.ril.com/ar2025-26/financial-performance-and-review.html</x:v>
      </x:c>
      <x:c r="E11" t="str">
        <x:v>reported</x:v>
      </x:c>
    </x:row>
    <x:row r="12">
      <x:c r="A12" t="str">
        <x:v>Current price</x:v>
      </x:c>
      <x:c r="B12" t="str">
        <x:v>25-Sep-2026</x:v>
      </x:c>
      <x:c r="C12" t="str">
        <x:v>₹1,219.30</x:v>
      </x:c>
      <x:c r="D12" t="str">
        <x:v>https://www.investing.com/equities/reliance-industries-historical-data</x:v>
      </x:c>
      <x:c r="E12" t="str">
        <x:v>market data</x:v>
      </x:c>
    </x:row>
    <x:row r="13">
      <x:c r="A13" t="str">
        <x:v>Monthly price history</x:v>
      </x:c>
      <x:c r="B13" t="str">
        <x:v>Nov-2024 to Sep-2026</x:v>
      </x:c>
      <x:c r="C13" t="str">
        <x:v>Seed history for band calculation</x:v>
      </x:c>
      <x:c r="D13" t="str">
        <x:v>https://www.digrin.com/stocks/detail/RELIANCE.NS/price</x:v>
      </x:c>
      <x:c r="E13" t="str">
        <x:v>market data</x:v>
      </x:c>
    </x:row>
    <x:row r="14">
      <x:c r="A14" t="str">
        <x:v>DCF forecast assumptions</x:v>
      </x:c>
      <x:c r="B14" t="str">
        <x:v>25-Sep-2026</x:v>
      </x:c>
      <x:c r="C14" t="str">
        <x:v>Growth, margins, capex, WACC, terminal growth</x:v>
      </x:c>
      <x:c r="D14" t="str">
        <x:v>Analyst assumptions in blue cells</x:v>
      </x:c>
      <x:c r="E14" t="str">
        <x:v>analyst_estimate</x:v>
      </x:c>
    </x:row>
  </x:sheetData>
  <x:mergeCells>
    <x:mergeCell ref="A1:E1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8" hidden="0" customWidth="1"/>
    <x:col min="4" max="4" width="20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24" customHeight="1">
      <x:c r="A1" s="8" t="str">
        <x:v>Reliance Industries — Dynamic SOTP DCF + Fair Value Bands</x:v>
      </x:c>
    </x:row>
    <x:row r="3">
      <x:c r="A3" s="14" t="str">
        <x:v>Investment anchor</x:v>
      </x:c>
      <x:c r="B3" s="14" t="str">
        <x:v>Value</x:v>
      </x:c>
      <x:c r="D3" s="30" t="str">
        <x:v>What the model is designed to do</x:v>
      </x:c>
    </x:row>
    <x:row r="4">
      <x:c r="A4" t="str">
        <x:v>Current price</x:v>
      </x:c>
      <x:c r="B4" s="53" t="n">
        <x:f>'Bands'!B4</x:f>
        <x:v>1219.3</x:v>
      </x:c>
      <x:c r="D4" s="82" t="str">
        <x:v>Purpose</x:v>
      </x:c>
      <x:c r="E4" s="82" t="str">
        <x:v>Keep intrinsic value slow-moving while market price remains volatile</x:v>
      </x:c>
      <x:c r="F4" s="82" t="str"/>
      <x:c r="G4" s="82" t="str"/>
      <x:c r="H4" s="82" t="str"/>
    </x:row>
    <x:row r="5">
      <x:c r="A5" s="60" t="str">
        <x:v>Base fair value</x:v>
      </x:c>
      <x:c r="B5" s="62" t="n">
        <x:f>'Bands'!B5</x:f>
        <x:v>1576.5573012679429</x:v>
      </x:c>
      <x:c r="D5" s="82" t="str">
        <x:v>Valuation method</x:v>
      </x:c>
      <x:c r="E5" s="82" t="str">
        <x:v>10-year FCFF DCF by major sub-business + ownership + net debt + holdco discount</x:v>
      </x:c>
      <x:c r="F5" s="82" t="str"/>
      <x:c r="G5" s="82" t="str"/>
      <x:c r="H5" s="82" t="str"/>
    </x:row>
    <x:row r="6">
      <x:c r="A6" s="60" t="str">
        <x:v>Upside / (downside)</x:v>
      </x:c>
      <x:c r="B6" s="72" t="n">
        <x:f>B5/B4-1</x:f>
        <x:v>0.29300196938238576</x:v>
      </x:c>
      <x:c r="D6" s="82" t="str">
        <x:v>Band method</x:v>
      </x:c>
      <x:c r="E6" s="82" t="str">
        <x:v>Historical price / fair-value gap; ±1 rolling standard deviation</x:v>
      </x:c>
      <x:c r="F6" s="82" t="str"/>
      <x:c r="G6" s="82" t="str"/>
      <x:c r="H6" s="82" t="str"/>
    </x:row>
    <x:row r="7">
      <x:c r="A7" t="str">
        <x:v>-1σ band</x:v>
      </x:c>
      <x:c r="B7" s="53" t="n">
        <x:f>'Bands'!B7</x:f>
        <x:v>1450.4327171665075</x:v>
      </x:c>
      <x:c r="D7" s="82" t="str">
        <x:v>Refresh cadence</x:v>
      </x:c>
      <x:c r="E7" s="82" t="str">
        <x:v>Quarterly after earnings; monthly fair-value roll-forward only</x:v>
      </x:c>
      <x:c r="F7" s="82" t="str"/>
      <x:c r="G7" s="82" t="str"/>
      <x:c r="H7" s="82" t="str"/>
    </x:row>
    <x:row r="8">
      <x:c r="A8" t="str">
        <x:v>+1σ band</x:v>
      </x:c>
      <x:c r="B8" s="53" t="n">
        <x:f>'Bands'!B8</x:f>
        <x:v>1702.6818853693785</x:v>
      </x:c>
      <x:c r="D8" s="82" t="str">
        <x:v>Key risk</x:v>
      </x:c>
      <x:c r="E8" s="82" t="str">
        <x:v>WACC, terminal growth and New Energy ramp are valuation-sensitive</x:v>
      </x:c>
      <x:c r="F8" s="82" t="str"/>
      <x:c r="G8" s="82" t="str"/>
      <x:c r="H8" s="82" t="str"/>
    </x:row>
    <x:row r="9">
      <x:c r="A9" t="str">
        <x:v>Current z-score</x:v>
      </x:c>
      <x:c r="B9" s="78" t="n">
        <x:f>'Bands'!B10</x:f>
        <x:v>-2.83257466268923</x:v>
      </x:c>
    </x:row>
    <x:row r="10">
      <x:c r="A10" t="str">
        <x:v>Model status</x:v>
      </x:c>
      <x:c r="B10" t="str">
        <x:v>screen-grade</x:v>
      </x:c>
    </x:row>
    <x:row r="13">
      <x:c r="A13" s="30" t="str">
        <x:v>Workbook map</x:v>
      </x:c>
    </x:row>
    <x:row r="14">
      <x:c r="A14" s="82" t="str">
        <x:v>Tab</x:v>
      </x:c>
      <x:c r="B14" s="82" t="str">
        <x:v>Use</x:v>
      </x:c>
    </x:row>
    <x:row r="15">
      <x:c r="A15" s="82" t="str">
        <x:v>Global Inputs</x:v>
      </x:c>
      <x:c r="B15" s="82" t="str">
        <x:v>Price, shares, net debt, holdco discount, roll-forward, sigma floor</x:v>
      </x:c>
    </x:row>
    <x:row r="16">
      <x:c r="A16" s="82" t="str">
        <x:v>SOTP</x:v>
      </x:c>
      <x:c r="B16" s="82" t="str">
        <x:v>Business EV bridge to RIL fair value/share</x:v>
      </x:c>
    </x:row>
    <x:row r="17">
      <x:c r="A17" s="82" t="str">
        <x:v>Bands</x:v>
      </x:c>
      <x:c r="B17" s="82" t="str">
        <x:v>Current band signal and operating rules</x:v>
      </x:c>
    </x:row>
    <x:row r="18">
      <x:c r="A18" s="82" t="str">
        <x:v>Price History</x:v>
      </x:c>
      <x:c r="B18" s="82" t="str">
        <x:v>Seed monthly history + dynamic FV backcast and rolling sigma</x:v>
      </x:c>
    </x:row>
    <x:row r="19">
      <x:c r="A19" s="82" t="str">
        <x:v>Jio / Retail / O2C / Oil_Gas / Media / New_Energy</x:v>
      </x:c>
      <x:c r="B19" s="82" t="str">
        <x:v>Editable 10-year FCFF DCFs</x:v>
      </x:c>
    </x:row>
    <x:row r="20">
      <x:c r="A20" s="82" t="str">
        <x:v>Sources</x:v>
      </x:c>
      <x:c r="B20" s="82" t="str">
        <x:v>Source ledger and source posture</x:v>
      </x:c>
    </x:row>
    <x:row r="21">
      <x:c r="A21" s="82" t="str">
        <x:v>Blue cells</x:v>
      </x:c>
      <x:c r="B21" s="82" t="str">
        <x:v>Hardcoded / editable assumptions</x:v>
      </x:c>
    </x:row>
    <x:row r="22">
      <x:c r="A22" s="82" t="str">
        <x:v>Green cells</x:v>
      </x:c>
      <x:c r="B22" s="82" t="str">
        <x:v>Links from other workbook tabs</x:v>
      </x:c>
    </x:row>
    <x:row r="23">
      <x:c r="A23" s="82" t="str">
        <x:v>Black cells</x:v>
      </x:c>
      <x:c r="B23" s="82" t="str">
        <x:v>Formulas / calculations</x:v>
      </x:c>
    </x:row>
  </x:sheetData>
  <x:mergeCells>
    <x:mergeCell ref="A1:H1"/>
    <x:mergeCell ref="D3:H3"/>
    <x:mergeCell ref="A13:H13"/>
  </x:mergeCells>
  <x:pageMargins left="0.7" right="0.7" top="0.75" bottom="0.75" header="0.3" footer="0.3"/>
</x:worksheet>
</file>